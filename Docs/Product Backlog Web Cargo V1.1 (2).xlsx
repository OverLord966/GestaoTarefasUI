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EsteLivro"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10 - UFCD - 5425 - Projeto de Tecnologias e Programação de Sistemas de Informação/1 - Conteudos/Aula 3/"/>
    </mc:Choice>
  </mc:AlternateContent>
  <xr:revisionPtr revIDLastSave="0" documentId="8_{FBFCA911-DE7B-4F8D-ABEB-9A7F5C942F7E}" xr6:coauthVersionLast="47" xr6:coauthVersionMax="47" xr10:uidLastSave="{00000000-0000-0000-0000-000000000000}"/>
  <bookViews>
    <workbookView xWindow="25080" yWindow="-120" windowWidth="25440" windowHeight="15390" firstSheet="1" activeTab="1" xr2:uid="{00000000-000D-0000-FFFF-FFFF00000000}"/>
  </bookViews>
  <sheets>
    <sheet name="Linha Cronológica do Projeto" sheetId="1" r:id="rId1"/>
    <sheet name="Product Backlog" sheetId="2" r:id="rId2"/>
  </sheets>
  <definedNames>
    <definedName name="_xlnm._FilterDatabase" localSheetId="1" hidden="1">'Product Backlog'!$B$1:$H$9</definedName>
    <definedName name="_xlnm.Print_Titles" localSheetId="0">'Linha Cronológica do Projeto'!$4:$7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 l="1"/>
  <c r="B6" i="1" l="1"/>
  <c r="B5" i="1"/>
  <c r="D7" i="1"/>
  <c r="C5" i="1"/>
  <c r="C6" i="1"/>
  <c r="D6" i="1" l="1"/>
  <c r="E7" i="1"/>
  <c r="D5" i="1"/>
  <c r="F7" i="1" l="1"/>
  <c r="E5" i="1"/>
  <c r="E6" i="1"/>
  <c r="G7" i="1" l="1"/>
  <c r="F6" i="1"/>
  <c r="F5" i="1"/>
  <c r="H7" i="1" l="1"/>
  <c r="G5" i="1"/>
  <c r="G6" i="1"/>
  <c r="H6" i="1" l="1"/>
  <c r="I7" i="1"/>
  <c r="H5" i="1"/>
  <c r="J7" i="1" l="1"/>
  <c r="I5" i="1"/>
  <c r="I6" i="1"/>
  <c r="K7" i="1" l="1"/>
  <c r="J6" i="1"/>
  <c r="J5" i="1"/>
  <c r="K5" i="1" l="1"/>
  <c r="L7" i="1"/>
  <c r="K6" i="1"/>
  <c r="L6" i="1" l="1"/>
  <c r="M7" i="1"/>
  <c r="L5" i="1"/>
  <c r="N7" i="1" l="1"/>
  <c r="M5" i="1"/>
  <c r="M6" i="1"/>
  <c r="O7" i="1" l="1"/>
  <c r="N6" i="1"/>
  <c r="N5" i="1"/>
  <c r="O5" i="1" l="1"/>
  <c r="P7" i="1"/>
  <c r="O6" i="1"/>
  <c r="P6" i="1" l="1"/>
  <c r="Q7" i="1"/>
  <c r="P5" i="1"/>
  <c r="R7" i="1" l="1"/>
  <c r="Q5" i="1"/>
  <c r="Q6" i="1"/>
  <c r="S7" i="1" l="1"/>
  <c r="R6" i="1"/>
  <c r="R5" i="1"/>
  <c r="T7" i="1" l="1"/>
  <c r="S5" i="1"/>
  <c r="S6" i="1"/>
  <c r="T6" i="1" l="1"/>
  <c r="U7" i="1"/>
  <c r="T5" i="1"/>
  <c r="V7" i="1" l="1"/>
  <c r="U5" i="1"/>
  <c r="U6" i="1"/>
  <c r="W7" i="1" l="1"/>
  <c r="V6" i="1"/>
  <c r="V5" i="1"/>
  <c r="X7" i="1" l="1"/>
  <c r="W5" i="1"/>
  <c r="W6" i="1"/>
  <c r="X6" i="1" l="1"/>
  <c r="Y7" i="1"/>
  <c r="X5" i="1"/>
  <c r="Z7" i="1" l="1"/>
  <c r="Y5" i="1"/>
  <c r="Y6" i="1"/>
  <c r="AA7" i="1" l="1"/>
  <c r="Z6" i="1"/>
  <c r="Z5" i="1"/>
  <c r="AA5" i="1" l="1"/>
  <c r="AB7" i="1"/>
  <c r="AA6" i="1"/>
  <c r="AB6" i="1" l="1"/>
  <c r="AC7" i="1"/>
  <c r="AB5" i="1"/>
  <c r="AD7" i="1" l="1"/>
  <c r="AC5" i="1"/>
  <c r="AC6" i="1"/>
  <c r="AE7" i="1" l="1"/>
  <c r="AD5" i="1"/>
  <c r="AD6" i="1"/>
  <c r="AE5" i="1" l="1"/>
  <c r="AF7" i="1"/>
  <c r="AE6" i="1"/>
  <c r="AF6" i="1" l="1"/>
  <c r="AG7" i="1"/>
  <c r="AF5" i="1"/>
  <c r="AH7" i="1" l="1"/>
  <c r="AG6" i="1"/>
  <c r="AG5" i="1"/>
  <c r="AI7" i="1" l="1"/>
  <c r="AH5" i="1"/>
  <c r="AH6" i="1"/>
  <c r="AI5" i="1" l="1"/>
  <c r="AJ7" i="1"/>
  <c r="AI6" i="1"/>
  <c r="AJ5" i="1" l="1"/>
  <c r="AK7" i="1"/>
  <c r="AJ6" i="1"/>
  <c r="AL7" i="1" l="1"/>
  <c r="AK6" i="1"/>
  <c r="AK5" i="1"/>
  <c r="AM7" i="1" l="1"/>
  <c r="AL5" i="1"/>
  <c r="AL6" i="1"/>
  <c r="AM6" i="1" l="1"/>
  <c r="AN7" i="1"/>
  <c r="AM5" i="1"/>
  <c r="AN6" i="1" l="1"/>
  <c r="AO7" i="1"/>
  <c r="AN5" i="1"/>
  <c r="AP7" i="1" l="1"/>
  <c r="AO6" i="1"/>
  <c r="AO5" i="1"/>
  <c r="AQ7" i="1" l="1"/>
  <c r="AP5" i="1"/>
  <c r="AP6" i="1"/>
  <c r="AQ5" i="1" l="1"/>
  <c r="AR7" i="1"/>
  <c r="AQ6" i="1"/>
  <c r="AR6" i="1" l="1"/>
  <c r="AS7" i="1"/>
  <c r="AR5" i="1"/>
  <c r="AT7" i="1" l="1"/>
  <c r="AS6" i="1"/>
  <c r="AS5" i="1"/>
  <c r="AU7" i="1" l="1"/>
  <c r="AT5" i="1"/>
  <c r="AT6" i="1"/>
  <c r="AU5" i="1" l="1"/>
  <c r="AV7" i="1"/>
  <c r="AU6" i="1"/>
  <c r="AV6" i="1" l="1"/>
  <c r="AW7" i="1"/>
  <c r="AV5" i="1"/>
  <c r="AX7" i="1" l="1"/>
  <c r="AW6" i="1"/>
  <c r="AW5" i="1"/>
  <c r="AY7" i="1" l="1"/>
  <c r="AX5" i="1"/>
  <c r="AX6" i="1"/>
  <c r="AY5" i="1" l="1"/>
  <c r="AZ7" i="1"/>
  <c r="AY6" i="1"/>
  <c r="AZ5" i="1" l="1"/>
  <c r="AZ6" i="1"/>
  <c r="BA7" i="1"/>
  <c r="BB7" i="1" l="1"/>
  <c r="BA6" i="1"/>
  <c r="BA5" i="1"/>
  <c r="BC7" i="1" l="1"/>
  <c r="BB5" i="1"/>
  <c r="BB6" i="1"/>
  <c r="BC5" i="1" l="1"/>
  <c r="BD7" i="1"/>
  <c r="BC6" i="1"/>
  <c r="BD5" i="1" l="1"/>
  <c r="BD6" i="1"/>
  <c r="BE7" i="1"/>
  <c r="BF7" i="1" s="1"/>
  <c r="BF6" i="1" l="1"/>
  <c r="BF5" i="1"/>
  <c r="BG7" i="1"/>
  <c r="BE6" i="1"/>
  <c r="BE5" i="1"/>
  <c r="BH7" i="1" l="1"/>
  <c r="BG6" i="1"/>
  <c r="BG5" i="1"/>
  <c r="BI7" i="1" l="1"/>
  <c r="BH5" i="1"/>
  <c r="BH6" i="1"/>
  <c r="BI6" i="1" l="1"/>
  <c r="BI5" i="1"/>
  <c r="BJ7" i="1"/>
  <c r="BJ5" i="1" l="1"/>
  <c r="BJ6" i="1"/>
  <c r="BK7" i="1"/>
  <c r="BL7" i="1" l="1"/>
  <c r="BK5" i="1"/>
  <c r="BK6" i="1"/>
  <c r="BM7" i="1" l="1"/>
  <c r="BL6" i="1"/>
  <c r="BL5" i="1"/>
  <c r="BM6" i="1" l="1"/>
  <c r="BM5" i="1"/>
  <c r="BN7" i="1"/>
  <c r="BN6" i="1" l="1"/>
  <c r="BO7" i="1"/>
  <c r="BN5" i="1"/>
  <c r="BP7" i="1" l="1"/>
  <c r="BO6" i="1"/>
  <c r="BO5" i="1"/>
  <c r="BQ7" i="1" l="1"/>
  <c r="BP6" i="1"/>
  <c r="BP5" i="1"/>
  <c r="BQ6" i="1" l="1"/>
  <c r="BQ5" i="1"/>
  <c r="BR7" i="1"/>
  <c r="BR5" i="1" l="1"/>
  <c r="BS7" i="1"/>
  <c r="BR6" i="1"/>
  <c r="BT7" i="1" l="1"/>
  <c r="BS6" i="1"/>
  <c r="BS5" i="1"/>
  <c r="BU7" i="1" l="1"/>
  <c r="BT6" i="1"/>
  <c r="BT5" i="1"/>
  <c r="BU6" i="1" l="1"/>
  <c r="BU5" i="1"/>
  <c r="BV7" i="1"/>
  <c r="BV6" i="1" l="1"/>
  <c r="BV5" i="1"/>
  <c r="BW7" i="1"/>
  <c r="BX7" i="1" l="1"/>
  <c r="BW5" i="1"/>
  <c r="BW6" i="1"/>
  <c r="BY7" i="1" l="1"/>
  <c r="BX6" i="1"/>
  <c r="BX5" i="1"/>
  <c r="BY6" i="1" l="1"/>
  <c r="BY5" i="1"/>
  <c r="BZ7" i="1"/>
  <c r="BZ5" i="1" l="1"/>
  <c r="BZ6" i="1"/>
  <c r="CA7" i="1"/>
  <c r="CB7" i="1" l="1"/>
  <c r="CA5" i="1"/>
  <c r="CA6" i="1"/>
  <c r="CC7" i="1" l="1"/>
  <c r="CB6" i="1"/>
  <c r="CB5" i="1"/>
  <c r="CC6" i="1" l="1"/>
  <c r="CC5" i="1"/>
  <c r="CD7" i="1"/>
  <c r="CE7" i="1" l="1"/>
  <c r="CD5" i="1"/>
  <c r="CD6" i="1"/>
  <c r="CF7" i="1" l="1"/>
  <c r="CE6" i="1"/>
  <c r="CE5" i="1"/>
  <c r="CG7" i="1" l="1"/>
  <c r="CH7" i="1" s="1"/>
  <c r="CF6" i="1"/>
  <c r="CF5" i="1"/>
  <c r="CI7" i="1" l="1"/>
  <c r="CH5" i="1"/>
  <c r="CH6" i="1"/>
  <c r="CG6" i="1"/>
  <c r="CG5" i="1"/>
  <c r="CJ7" i="1" l="1"/>
  <c r="CI6" i="1"/>
  <c r="CI5" i="1"/>
  <c r="CJ5" i="1" l="1"/>
  <c r="CK7" i="1"/>
  <c r="CJ6" i="1"/>
  <c r="CL7" i="1" l="1"/>
  <c r="CK6" i="1"/>
  <c r="CK5" i="1"/>
  <c r="CL6" i="1" l="1"/>
  <c r="CL5" i="1"/>
  <c r="CM7" i="1"/>
  <c r="CM5" i="1" l="1"/>
  <c r="CN7" i="1"/>
  <c r="CM6" i="1"/>
  <c r="CN5" i="1" l="1"/>
  <c r="CO7" i="1"/>
  <c r="CN6" i="1"/>
  <c r="CP7" i="1" l="1"/>
  <c r="CO6" i="1"/>
  <c r="CO5" i="1"/>
  <c r="CP6" i="1" l="1"/>
  <c r="CP5" i="1"/>
  <c r="CQ7" i="1"/>
  <c r="CQ5" i="1" l="1"/>
  <c r="CR7" i="1"/>
  <c r="CQ6" i="1"/>
  <c r="CR5" i="1" l="1"/>
  <c r="CS7" i="1"/>
  <c r="CR6" i="1"/>
  <c r="CT7" i="1" l="1"/>
  <c r="CS6" i="1"/>
  <c r="CS5" i="1"/>
  <c r="CT6" i="1" l="1"/>
  <c r="CT5" i="1"/>
  <c r="CU7" i="1"/>
  <c r="CU5" i="1" l="1"/>
  <c r="CV7" i="1"/>
  <c r="CU6" i="1"/>
  <c r="CV5" i="1" l="1"/>
  <c r="CW7" i="1"/>
  <c r="CV6" i="1"/>
  <c r="CX7" i="1" l="1"/>
  <c r="CW6" i="1"/>
  <c r="CW5" i="1"/>
  <c r="CX6" i="1" l="1"/>
  <c r="CX5" i="1"/>
  <c r="CY7" i="1"/>
  <c r="CY5" i="1" l="1"/>
  <c r="CZ7" i="1"/>
  <c r="CY6" i="1"/>
  <c r="CZ5" i="1" l="1"/>
  <c r="DA7" i="1"/>
  <c r="CZ6" i="1"/>
  <c r="DB7" i="1" l="1"/>
  <c r="DA6" i="1"/>
  <c r="DA5" i="1"/>
  <c r="DB6" i="1" l="1"/>
  <c r="DB5" i="1"/>
  <c r="DC7" i="1"/>
  <c r="DD7" i="1" l="1"/>
  <c r="DC5" i="1"/>
  <c r="DC6" i="1"/>
  <c r="DD6" i="1" l="1"/>
  <c r="DD5" i="1"/>
  <c r="DE7" i="1"/>
  <c r="DE5" i="1" l="1"/>
  <c r="DE6" i="1"/>
  <c r="DF7" i="1"/>
  <c r="DG7" i="1" l="1"/>
  <c r="DF6" i="1"/>
  <c r="DF5" i="1"/>
  <c r="DG6" i="1" l="1"/>
  <c r="DG5" i="1"/>
  <c r="DH7" i="1"/>
  <c r="DH6" i="1" l="1"/>
  <c r="DH5" i="1"/>
  <c r="DI7" i="1"/>
  <c r="DJ7" i="1" l="1"/>
  <c r="DI6" i="1"/>
  <c r="DI5" i="1"/>
  <c r="DK7" i="1" l="1"/>
  <c r="DJ6" i="1"/>
  <c r="DJ5" i="1"/>
  <c r="DK5" i="1" l="1"/>
  <c r="DL7" i="1"/>
  <c r="DK6" i="1"/>
  <c r="DL5" i="1" l="1"/>
  <c r="DM7" i="1"/>
  <c r="DL6" i="1"/>
  <c r="DM6" i="1" l="1"/>
  <c r="DM5" i="1"/>
  <c r="DN7" i="1"/>
  <c r="DN6" i="1" l="1"/>
  <c r="DN5" i="1"/>
  <c r="DO7" i="1"/>
  <c r="DO6" i="1" l="1"/>
  <c r="DO5" i="1"/>
  <c r="DP7" i="1"/>
  <c r="DQ7" i="1" l="1"/>
  <c r="DP5" i="1"/>
  <c r="DP6" i="1"/>
  <c r="DR7" i="1" l="1"/>
  <c r="DQ5" i="1"/>
  <c r="DQ6" i="1"/>
  <c r="DR6" i="1" l="1"/>
  <c r="DS7" i="1"/>
  <c r="DR5" i="1"/>
  <c r="DS6" i="1" l="1"/>
  <c r="DS5" i="1"/>
  <c r="DT7" i="1"/>
  <c r="DU7" i="1" l="1"/>
  <c r="DT6" i="1"/>
  <c r="DT5" i="1"/>
  <c r="DU6" i="1" l="1"/>
  <c r="DV7" i="1"/>
  <c r="DU5" i="1"/>
  <c r="DV6" i="1" l="1"/>
  <c r="DV5" i="1"/>
  <c r="DW7" i="1"/>
  <c r="DW6" i="1" l="1"/>
  <c r="DW5" i="1"/>
  <c r="DX7" i="1"/>
  <c r="DX6" i="1" l="1"/>
  <c r="DX5" i="1"/>
  <c r="DY7" i="1"/>
  <c r="DZ7" i="1" l="1"/>
  <c r="DY6" i="1"/>
  <c r="DY5" i="1"/>
  <c r="DZ6" i="1" l="1"/>
  <c r="DZ5" i="1"/>
  <c r="EA7" i="1"/>
  <c r="EA6" i="1" l="1"/>
  <c r="EA5" i="1"/>
  <c r="EB7" i="1"/>
  <c r="EB5" i="1" l="1"/>
  <c r="EB6" i="1"/>
  <c r="EC7" i="1"/>
  <c r="ED7" i="1" l="1"/>
  <c r="EC6" i="1"/>
  <c r="EC5" i="1"/>
  <c r="ED6" i="1" l="1"/>
  <c r="ED5" i="1"/>
  <c r="EE7" i="1"/>
  <c r="EE5" i="1" l="1"/>
  <c r="EE6" i="1"/>
  <c r="EF7" i="1"/>
  <c r="EF6" i="1" l="1"/>
  <c r="EF5" i="1"/>
  <c r="EG7" i="1"/>
  <c r="EH7" i="1" l="1"/>
  <c r="EG6" i="1"/>
  <c r="EG5" i="1"/>
  <c r="EI7" i="1" l="1"/>
  <c r="EH6" i="1"/>
  <c r="EH5" i="1"/>
  <c r="EJ7" i="1" l="1"/>
  <c r="EI6" i="1"/>
  <c r="EI5" i="1"/>
  <c r="EK7" i="1" l="1"/>
  <c r="EJ6" i="1"/>
  <c r="EJ5" i="1"/>
  <c r="EL7" i="1" l="1"/>
  <c r="EK5" i="1"/>
  <c r="EK6" i="1"/>
  <c r="EL6" i="1" l="1"/>
  <c r="EL5" i="1"/>
  <c r="EM7" i="1"/>
  <c r="EM6" i="1" l="1"/>
  <c r="EN7" i="1"/>
  <c r="EM5" i="1"/>
  <c r="EO7" i="1" l="1"/>
  <c r="EN6" i="1"/>
  <c r="EN5" i="1"/>
  <c r="EP7" i="1" l="1"/>
  <c r="EO6" i="1"/>
  <c r="EO5" i="1"/>
  <c r="EP6" i="1" l="1"/>
  <c r="EP5" i="1"/>
  <c r="EQ7" i="1"/>
  <c r="EQ5" i="1" l="1"/>
  <c r="EQ6" i="1"/>
  <c r="ER7" i="1"/>
  <c r="ER5" i="1" l="1"/>
  <c r="ER6" i="1"/>
  <c r="ES7" i="1"/>
  <c r="ES5" i="1" l="1"/>
  <c r="ES6" i="1"/>
  <c r="ET7" i="1"/>
  <c r="ET6" i="1" l="1"/>
  <c r="EU7" i="1"/>
  <c r="ET5" i="1"/>
  <c r="EU6" i="1" l="1"/>
  <c r="EU5" i="1"/>
  <c r="EV7" i="1"/>
  <c r="EW7" i="1" l="1"/>
  <c r="EV5" i="1"/>
  <c r="EV6" i="1"/>
  <c r="EX7" i="1" l="1"/>
  <c r="EW6" i="1"/>
  <c r="EW5" i="1"/>
  <c r="EX6" i="1" l="1"/>
  <c r="EX5" i="1"/>
  <c r="EY7" i="1"/>
  <c r="EY5" i="1" l="1"/>
  <c r="EZ7" i="1"/>
  <c r="EY6" i="1"/>
  <c r="EZ5" i="1" l="1"/>
  <c r="FA7" i="1"/>
  <c r="EZ6" i="1"/>
  <c r="FB7" i="1" l="1"/>
  <c r="FA5" i="1"/>
  <c r="FA6" i="1"/>
  <c r="FB6" i="1" l="1"/>
  <c r="FC7" i="1"/>
  <c r="FB5" i="1"/>
  <c r="FC6" i="1" l="1"/>
  <c r="FC5" i="1"/>
  <c r="FD7" i="1"/>
  <c r="FE7" i="1" l="1"/>
  <c r="FD6" i="1"/>
  <c r="FD5" i="1"/>
  <c r="FF7" i="1" l="1"/>
  <c r="FE6" i="1"/>
  <c r="FE5" i="1"/>
  <c r="FF6" i="1" l="1"/>
  <c r="FF5" i="1"/>
</calcChain>
</file>

<file path=xl/sharedStrings.xml><?xml version="1.0" encoding="utf-8"?>
<sst xmlns="http://schemas.openxmlformats.org/spreadsheetml/2006/main" count="183" uniqueCount="96">
  <si>
    <t>Web Cargo</t>
  </si>
  <si>
    <t xml:space="preserve"> Data de Início: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</si>
  <si>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</si>
  <si>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</si>
  <si>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</si>
  <si>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</si>
  <si>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</si>
  <si>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</si>
  <si>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</si>
  <si>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</si>
  <si>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</si>
  <si>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</si>
  <si>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</si>
  <si>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</si>
  <si>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</si>
  <si>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</si>
  <si>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</si>
  <si>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</si>
  <si>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</si>
  <si>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</si>
  <si>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</si>
  <si>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</si>
  <si>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</si>
  <si>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</si>
  <si>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</si>
  <si>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 xml:space="preserve"> </t>
  </si>
  <si>
    <t>Estado:</t>
  </si>
  <si>
    <t>Tarefas</t>
  </si>
  <si>
    <t>Base de dados EF</t>
  </si>
  <si>
    <t>Desenho e programação</t>
  </si>
  <si>
    <t>Finalizado</t>
  </si>
  <si>
    <t>Testes</t>
  </si>
  <si>
    <t>Web - MVC</t>
  </si>
  <si>
    <t>Views Administração - CRUD: Empresa, Agente</t>
  </si>
  <si>
    <t>Views Administração - CRUD (cont.)</t>
  </si>
  <si>
    <t>Em testes</t>
  </si>
  <si>
    <t>Férias acordadas (anuladas)</t>
  </si>
  <si>
    <t>Fornecedores, Clientes, viagens, etc</t>
  </si>
  <si>
    <t>Ferias 1 semana - ANULADAS</t>
  </si>
  <si>
    <t>Testes e correções - views</t>
  </si>
  <si>
    <t>Layout Novo</t>
  </si>
  <si>
    <t>Booking</t>
  </si>
  <si>
    <t>Booking testes</t>
  </si>
  <si>
    <t>Booking pesquisas</t>
  </si>
  <si>
    <t>Booking Pesquisas</t>
  </si>
  <si>
    <t>Resources (Res)</t>
  </si>
  <si>
    <t>Upload ficheiros</t>
  </si>
  <si>
    <t>ID Tarefa</t>
  </si>
  <si>
    <t>Descrição</t>
  </si>
  <si>
    <t>Objetos</t>
  </si>
  <si>
    <t>Data</t>
  </si>
  <si>
    <t>Data Início</t>
  </si>
  <si>
    <t>Data Fim</t>
  </si>
  <si>
    <t>Prioridade</t>
  </si>
  <si>
    <t>Estado</t>
  </si>
  <si>
    <t>Requerente</t>
  </si>
  <si>
    <t>Criar repositório GitHub</t>
  </si>
  <si>
    <t>Projeto</t>
  </si>
  <si>
    <t>Feito</t>
  </si>
  <si>
    <t>Dev</t>
  </si>
  <si>
    <t>Configurar ambiente Python</t>
  </si>
  <si>
    <t>Criar arquitetura UI/BLL/DAL</t>
  </si>
  <si>
    <t>Arquitetura</t>
  </si>
  <si>
    <t>Criar BD SQLite/MySQL</t>
  </si>
  <si>
    <t>Base de Dados</t>
  </si>
  <si>
    <t>Criar tabela tarefas</t>
  </si>
  <si>
    <t>Implementar DAL</t>
  </si>
  <si>
    <t>DAL</t>
  </si>
  <si>
    <t>Implementar BLL</t>
  </si>
  <si>
    <t>BLL</t>
  </si>
  <si>
    <t>Adicionar tarefa</t>
  </si>
  <si>
    <t>Cliente</t>
  </si>
  <si>
    <t>Listar tarefas</t>
  </si>
  <si>
    <t>Filtros por estado</t>
  </si>
  <si>
    <t>Filtros por prioridade</t>
  </si>
  <si>
    <t>Editar tarefa</t>
  </si>
  <si>
    <t>Mover tarefa</t>
  </si>
  <si>
    <t>Concluir tarefa</t>
  </si>
  <si>
    <t>Apagar tarefa</t>
  </si>
  <si>
    <t>Guardar na BD</t>
  </si>
  <si>
    <t>Carregar da BD</t>
  </si>
  <si>
    <t>Dashboard estatístico</t>
  </si>
  <si>
    <t>Dashboard</t>
  </si>
  <si>
    <t>Gráfico Matplotlib</t>
  </si>
  <si>
    <t>Testes unitários</t>
  </si>
  <si>
    <t>Testes integração</t>
  </si>
  <si>
    <t>Testes sistema</t>
  </si>
  <si>
    <t>Testes aceitação</t>
  </si>
  <si>
    <t>Correção de bugs</t>
  </si>
  <si>
    <t>Documentação técnica</t>
  </si>
  <si>
    <t>Documentação</t>
  </si>
  <si>
    <t>Manual de utilizador</t>
  </si>
  <si>
    <t>Preparar versão final</t>
  </si>
  <si>
    <t>Deployment</t>
  </si>
  <si>
    <t>Equipa</t>
  </si>
  <si>
    <t>Apresentação/Publicação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</si>
</sst>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"/>
  </numFmts>
  <fonts count="20">
    <font>
      <sz val="11"/>
      <color theme="1" tint="0.34998626667073579"/>
      <name val="Arial"/>
      <family val="2"/>
      <scheme val="minor"/>
    </font>
    <font>
      <sz val="31"/>
      <color theme="9"/>
      <name val="Arial Black"/>
      <family val="2"/>
      <scheme val="major"/>
    </font>
    <font>
      <sz val="15"/>
      <color theme="1" tint="0.499984740745262"/>
      <name val="Arial"/>
      <family val="2"/>
      <scheme val="minor"/>
    </font>
    <font>
      <sz val="8"/>
      <color theme="0"/>
      <name val="Arial"/>
      <family val="2"/>
      <scheme val="minor"/>
    </font>
    <font>
      <sz val="8"/>
      <color theme="1" tint="0.34998626667073579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sz val="18"/>
      <color theme="0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sz val="18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1">
    <xf numFmtId="0" fontId="0" fillId="0" borderId="0" xfId="0">
      <alignment vertical="center"/>
    </xf>
    <xf numFmtId="0" fontId="0" fillId="0" borderId="0" xfId="0" applyAlignment="1">
      <alignment horizontal="center"/>
    </xf>
    <xf numFmtId="165" fontId="4" fillId="3" borderId="0" xfId="0" applyNumberFormat="1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center"/>
    </xf>
    <xf numFmtId="165" fontId="3" fillId="6" borderId="0" xfId="0" applyNumberFormat="1" applyFont="1" applyFill="1" applyAlignment="1">
      <alignment horizontal="left" vertical="center"/>
    </xf>
    <xf numFmtId="165" fontId="4" fillId="5" borderId="0" xfId="0" applyNumberFormat="1" applyFont="1" applyFill="1" applyAlignment="1">
      <alignment horizontal="left" vertical="center"/>
    </xf>
    <xf numFmtId="165" fontId="8" fillId="6" borderId="0" xfId="4" applyNumberFormat="1" applyFont="1" applyFill="1" applyAlignment="1">
      <alignment horizontal="left" vertical="center"/>
    </xf>
    <xf numFmtId="165" fontId="7" fillId="5" borderId="0" xfId="4" applyNumberFormat="1" applyFont="1" applyFill="1" applyAlignment="1">
      <alignment horizontal="left" vertical="center"/>
    </xf>
    <xf numFmtId="165" fontId="7" fillId="3" borderId="0" xfId="4" applyNumberFormat="1" applyFont="1" applyFill="1" applyAlignment="1">
      <alignment horizontal="left" vertical="center"/>
    </xf>
    <xf numFmtId="165" fontId="7" fillId="4" borderId="0" xfId="4" applyNumberFormat="1" applyFont="1" applyFill="1" applyAlignment="1">
      <alignment horizontal="left" vertical="center"/>
    </xf>
    <xf numFmtId="0" fontId="1" fillId="0" borderId="0" xfId="1" applyAlignment="1">
      <alignment horizontal="left" indent="1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right" vertical="center" indent="1"/>
    </xf>
    <xf numFmtId="14" fontId="0" fillId="2" borderId="0" xfId="0" applyNumberFormat="1" applyFill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5" fillId="0" borderId="0" xfId="3" applyAlignment="1">
      <alignment horizontal="left"/>
    </xf>
    <xf numFmtId="0" fontId="0" fillId="2" borderId="3" xfId="0" applyFill="1" applyBorder="1" applyAlignment="1">
      <alignment horizontal="right" vertical="center" indent="1"/>
    </xf>
    <xf numFmtId="0" fontId="0" fillId="2" borderId="4" xfId="0" applyFill="1" applyBorder="1" applyAlignment="1">
      <alignment horizontal="right" vertical="center" indent="1"/>
    </xf>
    <xf numFmtId="0" fontId="0" fillId="2" borderId="3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right" vertical="center" indent="1"/>
    </xf>
    <xf numFmtId="0" fontId="0" fillId="2" borderId="5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3" borderId="3" xfId="0" applyFill="1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8" borderId="3" xfId="0" applyFill="1" applyBorder="1" applyAlignment="1">
      <alignment horizontal="left" vertical="center" indent="1"/>
    </xf>
    <xf numFmtId="0" fontId="0" fillId="3" borderId="0" xfId="0" applyFill="1" applyAlignment="1">
      <alignment horizontal="center"/>
    </xf>
    <xf numFmtId="164" fontId="4" fillId="3" borderId="4" xfId="0" applyNumberFormat="1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left" vertical="center"/>
    </xf>
    <xf numFmtId="164" fontId="3" fillId="6" borderId="4" xfId="0" applyNumberFormat="1" applyFont="1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 indent="1"/>
    </xf>
    <xf numFmtId="0" fontId="11" fillId="9" borderId="3" xfId="0" applyFont="1" applyFill="1" applyBorder="1" applyAlignment="1">
      <alignment horizontal="left" vertical="center" indent="1"/>
    </xf>
    <xf numFmtId="0" fontId="11" fillId="7" borderId="3" xfId="0" applyFont="1" applyFill="1" applyBorder="1" applyAlignment="1">
      <alignment horizontal="left" vertical="center" indent="1"/>
    </xf>
    <xf numFmtId="0" fontId="11" fillId="2" borderId="3" xfId="0" applyFont="1" applyFill="1" applyBorder="1">
      <alignment vertical="center"/>
    </xf>
    <xf numFmtId="0" fontId="11" fillId="10" borderId="3" xfId="0" applyFont="1" applyFill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0" fontId="0" fillId="11" borderId="3" xfId="0" applyFill="1" applyBorder="1" applyAlignment="1">
      <alignment horizontal="left" vertical="center" indent="1"/>
    </xf>
    <xf numFmtId="0" fontId="11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4" fillId="12" borderId="0" xfId="0" applyFont="1" applyFill="1" applyAlignment="1">
      <alignment horizontal="left" vertical="center" indent="1"/>
    </xf>
    <xf numFmtId="0" fontId="14" fillId="12" borderId="4" xfId="0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14" borderId="3" xfId="0" applyFill="1" applyBorder="1" applyAlignment="1">
      <alignment horizontal="left" vertical="center" indent="1"/>
    </xf>
    <xf numFmtId="0" fontId="0" fillId="15" borderId="3" xfId="0" applyFill="1" applyBorder="1" applyAlignment="1">
      <alignment horizontal="left" vertical="center" indent="1"/>
    </xf>
    <xf numFmtId="0" fontId="15" fillId="15" borderId="3" xfId="0" applyFont="1" applyFill="1" applyBorder="1" applyAlignment="1">
      <alignment horizontal="left" vertical="center" indent="1"/>
    </xf>
    <xf numFmtId="0" fontId="0" fillId="13" borderId="0" xfId="0" applyFill="1" applyAlignment="1">
      <alignment horizontal="center" vertical="top" wrapText="1"/>
    </xf>
    <xf numFmtId="0" fontId="15" fillId="13" borderId="3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2" fillId="11" borderId="3" xfId="0" applyFont="1" applyFill="1" applyBorder="1" applyAlignment="1">
      <alignment horizontal="left" vertical="center" indent="1"/>
    </xf>
    <xf numFmtId="0" fontId="17" fillId="11" borderId="3" xfId="0" applyFont="1" applyFill="1" applyBorder="1" applyAlignment="1">
      <alignment horizontal="left" vertical="center" indent="1"/>
    </xf>
    <xf numFmtId="0" fontId="0" fillId="13" borderId="3" xfId="0" applyFill="1" applyBorder="1" applyAlignment="1">
      <alignment horizontal="left" vertical="center" indent="1"/>
    </xf>
    <xf numFmtId="0" fontId="11" fillId="14" borderId="3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0" fillId="3" borderId="0" xfId="2" applyFont="1" applyFill="1" applyAlignment="1">
      <alignment horizontal="left"/>
    </xf>
    <xf numFmtId="0" fontId="10" fillId="4" borderId="0" xfId="2" applyFont="1" applyFill="1" applyAlignment="1">
      <alignment horizontal="left"/>
    </xf>
    <xf numFmtId="0" fontId="10" fillId="5" borderId="0" xfId="2" applyFont="1" applyFill="1" applyAlignment="1">
      <alignment horizontal="left"/>
    </xf>
    <xf numFmtId="0" fontId="6" fillId="6" borderId="0" xfId="2" applyFont="1" applyFill="1" applyAlignment="1">
      <alignment horizontal="left"/>
    </xf>
    <xf numFmtId="14" fontId="5" fillId="0" borderId="1" xfId="3" applyNumberFormat="1" applyBorder="1" applyAlignment="1">
      <alignment horizontal="center"/>
    </xf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14" fontId="19" fillId="0" borderId="0" xfId="0" applyNumberFormat="1" applyFont="1" applyBorder="1" applyAlignment="1">
      <alignment vertical="center"/>
    </xf>
  </cellXfs>
  <cellStyles count="5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tle" xfId="1" builtinId="15" customBuiltin="1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</font>
      <fill>
        <patternFill>
          <bgColor rgb="FFFBF5CB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EDF2A6"/>
      <color rgb="FFFBF5CB"/>
      <color rgb="FFFDE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C97B4-AA1A-4D1A-9022-C60AC8A71732}" name="Tabela1" displayName="Tabela1" ref="A1:I340020" totalsRowShown="0" headerRowDxfId="8">
  <autoFilter ref="A1:I340020" xr:uid="{54C5A33C-2580-4DF6-B1E9-F29AA5254216}"/>
  <tableColumns count="9">
    <tableColumn id="7" xr3:uid="{7CC88E20-2E5D-4FBF-80BB-74B229F895A0}" name="ID Tarefa" dataDxfId="7"/>
    <tableColumn id="1" xr3:uid="{5F9690EE-8BB0-46D2-80C2-70A1F9E00B3C}" name="Descrição" dataDxfId="6"/>
    <tableColumn id="2" xr3:uid="{640EBB10-BBC1-431E-9998-BD3A8AC42A2D}" name="Objetos"/>
    <tableColumn id="3" xr3:uid="{250D3D34-92D5-43CA-A084-C0539E114D43}" name="Data" dataDxfId="5"/>
    <tableColumn id="4" xr3:uid="{7E3E952D-A4AC-4DE4-ACDC-667ACB292CF7}" name="Data Início" dataDxfId="4"/>
    <tableColumn id="5" xr3:uid="{2D97E4FB-50E1-4A50-8D83-0BA4A3ACF24F}" name="Data Fim" dataDxfId="3"/>
    <tableColumn id="9" xr3:uid="{9A844917-D84B-413F-AA07-A32F0337F102}" name="Prioridade" dataDxfId="2"/>
    <tableColumn id="6" xr3:uid="{4D66A534-DE4D-4994-8E63-03CA8167D7D0}" name="Estado" dataDxfId="1"/>
    <tableColumn id="8" xr3:uid="{FA01F505-78A5-4951-9A80-308EE651DFA5}" name="Requeren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tabColor theme="9"/>
    <pageSetUpPr autoPageBreaks="0" fitToPage="1"/>
  </sheetPr>
  <dimension ref="A1:FH29"/>
  <sheetViews>
    <sheetView showGridLines="0" zoomScaleNormal="100" workbookViewId="0">
      <pane xSplit="1" ySplit="7" topLeftCell="B8" activePane="bottomRight" state="frozen"/>
      <selection pane="bottomRight" activeCell="F8" sqref="F8"/>
      <selection pane="bottomLeft" activeCell="A8" sqref="A8"/>
      <selection pane="topRight" activeCell="B1" sqref="B1"/>
    </sheetView>
  </sheetViews>
  <sheetFormatPr defaultRowHeight="24.75" customHeight="1"/>
  <cols>
    <col min="1" max="1" width="24" style="14" customWidth="1"/>
    <col min="2" max="16" width="6.75" style="1" customWidth="1"/>
    <col min="17" max="162" width="6.75" customWidth="1"/>
    <col min="163" max="163" width="13" style="11" customWidth="1"/>
    <col min="164" max="164" width="2.25" customWidth="1"/>
  </cols>
  <sheetData>
    <row r="1" spans="1:164" ht="48.75" customHeight="1">
      <c r="A1" s="10" t="s">
        <v>0</v>
      </c>
    </row>
    <row r="2" spans="1:164" ht="24.75" customHeight="1" thickBot="1">
      <c r="A2" s="15" t="s">
        <v>1</v>
      </c>
      <c r="B2" s="67">
        <v>45852</v>
      </c>
      <c r="C2" s="67"/>
      <c r="D2" s="67"/>
    </row>
    <row r="3" spans="1:164" ht="12.75" customHeight="1">
      <c r="A3" s="12"/>
    </row>
    <row r="4" spans="1:164" ht="24.75" customHeight="1">
      <c r="A4" s="13"/>
      <c r="B4" s="63" t="s">
        <v>2</v>
      </c>
      <c r="C4" s="63"/>
      <c r="D4" s="63"/>
      <c r="E4" s="63"/>
      <c r="F4" s="63"/>
      <c r="G4" s="63"/>
      <c r="H4" s="63"/>
      <c r="I4" s="64" t="s">
        <v>3</v>
      </c>
      <c r="J4" s="64"/>
      <c r="K4" s="64"/>
      <c r="L4" s="64"/>
      <c r="M4" s="64"/>
      <c r="N4" s="64"/>
      <c r="O4" s="64"/>
      <c r="P4" s="65" t="s">
        <v>4</v>
      </c>
      <c r="Q4" s="65"/>
      <c r="R4" s="65"/>
      <c r="S4" s="65"/>
      <c r="T4" s="65"/>
      <c r="U4" s="65"/>
      <c r="V4" s="65"/>
      <c r="W4" s="66" t="s">
        <v>5</v>
      </c>
      <c r="X4" s="66"/>
      <c r="Y4" s="66"/>
      <c r="Z4" s="66"/>
      <c r="AA4" s="66"/>
      <c r="AB4" s="66"/>
      <c r="AC4" s="66"/>
      <c r="AD4" s="63" t="s">
        <v>6</v>
      </c>
      <c r="AE4" s="63"/>
      <c r="AF4" s="63"/>
      <c r="AG4" s="63"/>
      <c r="AH4" s="63"/>
      <c r="AI4" s="63"/>
      <c r="AJ4" s="63"/>
      <c r="AK4" s="64" t="s">
        <v>7</v>
      </c>
      <c r="AL4" s="64"/>
      <c r="AM4" s="64"/>
      <c r="AN4" s="64"/>
      <c r="AO4" s="64"/>
      <c r="AP4" s="64"/>
      <c r="AQ4" s="64"/>
      <c r="AR4" s="65" t="s">
        <v>8</v>
      </c>
      <c r="AS4" s="65"/>
      <c r="AT4" s="65"/>
      <c r="AU4" s="65"/>
      <c r="AV4" s="65"/>
      <c r="AW4" s="65"/>
      <c r="AX4" s="65"/>
      <c r="AY4" s="66" t="s">
        <v>9</v>
      </c>
      <c r="AZ4" s="66"/>
      <c r="BA4" s="66"/>
      <c r="BB4" s="66"/>
      <c r="BC4" s="66"/>
      <c r="BD4" s="66"/>
      <c r="BE4" s="66"/>
      <c r="BF4" s="63" t="s">
        <v>10</v>
      </c>
      <c r="BG4" s="63"/>
      <c r="BH4" s="63"/>
      <c r="BI4" s="63"/>
      <c r="BJ4" s="63"/>
      <c r="BK4" s="63"/>
      <c r="BL4" s="63"/>
      <c r="BM4" s="64" t="s">
        <v>11</v>
      </c>
      <c r="BN4" s="64"/>
      <c r="BO4" s="64"/>
      <c r="BP4" s="64"/>
      <c r="BQ4" s="64"/>
      <c r="BR4" s="64"/>
      <c r="BS4" s="64"/>
      <c r="BT4" s="65" t="s">
        <v>12</v>
      </c>
      <c r="BU4" s="65"/>
      <c r="BV4" s="65"/>
      <c r="BW4" s="65"/>
      <c r="BX4" s="65"/>
      <c r="BY4" s="65"/>
      <c r="BZ4" s="65"/>
      <c r="CA4" s="66" t="s">
        <v>13</v>
      </c>
      <c r="CB4" s="66"/>
      <c r="CC4" s="66"/>
      <c r="CD4" s="66"/>
      <c r="CE4" s="66"/>
      <c r="CF4" s="66"/>
      <c r="CG4" s="66"/>
      <c r="CH4" s="63" t="s">
        <v>14</v>
      </c>
      <c r="CI4" s="63"/>
      <c r="CJ4" s="63"/>
      <c r="CK4" s="63"/>
      <c r="CL4" s="63"/>
      <c r="CM4" s="63"/>
      <c r="CN4" s="63"/>
      <c r="CO4" s="64" t="s">
        <v>15</v>
      </c>
      <c r="CP4" s="64"/>
      <c r="CQ4" s="64"/>
      <c r="CR4" s="64"/>
      <c r="CS4" s="64"/>
      <c r="CT4" s="64"/>
      <c r="CU4" s="64"/>
      <c r="CV4" s="65" t="s">
        <v>16</v>
      </c>
      <c r="CW4" s="65"/>
      <c r="CX4" s="65"/>
      <c r="CY4" s="65"/>
      <c r="CZ4" s="65"/>
      <c r="DA4" s="65"/>
      <c r="DB4" s="65"/>
      <c r="DC4" s="66" t="s">
        <v>17</v>
      </c>
      <c r="DD4" s="66"/>
      <c r="DE4" s="66"/>
      <c r="DF4" s="66"/>
      <c r="DG4" s="66"/>
      <c r="DH4" s="66"/>
      <c r="DI4" s="66"/>
      <c r="DJ4" s="63" t="s">
        <v>18</v>
      </c>
      <c r="DK4" s="63"/>
      <c r="DL4" s="63"/>
      <c r="DM4" s="63"/>
      <c r="DN4" s="63"/>
      <c r="DO4" s="63"/>
      <c r="DP4" s="63"/>
      <c r="DQ4" s="64" t="s">
        <v>19</v>
      </c>
      <c r="DR4" s="64"/>
      <c r="DS4" s="64"/>
      <c r="DT4" s="64"/>
      <c r="DU4" s="64"/>
      <c r="DV4" s="64"/>
      <c r="DW4" s="64"/>
      <c r="DX4" s="65" t="s">
        <v>20</v>
      </c>
      <c r="DY4" s="65"/>
      <c r="DZ4" s="65"/>
      <c r="EA4" s="65"/>
      <c r="EB4" s="65"/>
      <c r="EC4" s="65"/>
      <c r="ED4" s="65"/>
      <c r="EE4" s="66" t="s">
        <v>21</v>
      </c>
      <c r="EF4" s="66"/>
      <c r="EG4" s="66"/>
      <c r="EH4" s="66"/>
      <c r="EI4" s="66"/>
      <c r="EJ4" s="66"/>
      <c r="EK4" s="66"/>
      <c r="EL4" s="63" t="s">
        <v>22</v>
      </c>
      <c r="EM4" s="63"/>
      <c r="EN4" s="63"/>
      <c r="EO4" s="63"/>
      <c r="EP4" s="63"/>
      <c r="EQ4" s="63"/>
      <c r="ER4" s="63"/>
      <c r="ES4" s="64" t="s">
        <v>23</v>
      </c>
      <c r="ET4" s="64"/>
      <c r="EU4" s="64"/>
      <c r="EV4" s="64"/>
      <c r="EW4" s="64"/>
      <c r="EX4" s="64"/>
      <c r="EY4" s="64"/>
      <c r="EZ4" s="65" t="s">
        <v>24</v>
      </c>
      <c r="FA4" s="65"/>
      <c r="FB4" s="65"/>
      <c r="FC4" s="65"/>
      <c r="FD4" s="65"/>
      <c r="FE4" s="65"/>
      <c r="FF4" s="65"/>
      <c r="FG4" s="49"/>
      <c r="FH4" t="s">
        <v>25</v>
      </c>
    </row>
    <row r="5" spans="1:164" ht="18.75" customHeight="1">
      <c r="A5" s="13"/>
      <c r="B5" s="8" t="str">
        <f>LOWER(TEXT(B7,"mmm"))</f>
        <v>jul</v>
      </c>
      <c r="C5" s="8" t="str">
        <f>IF(TEXT(C7,"mmm")=TEXT(B7,"mmm"),"",LOWER(TEXT(C7,"mmm")))</f>
        <v/>
      </c>
      <c r="D5" s="8" t="str">
        <f t="shared" ref="D5:AC5" si="0">IF(TEXT(D7,"mmm")=TEXT(C7,"mmm"),"",LOWER(TEXT(D7,"mmm")))</f>
        <v/>
      </c>
      <c r="E5" s="8" t="str">
        <f t="shared" si="0"/>
        <v/>
      </c>
      <c r="F5" s="8" t="str">
        <f t="shared" si="0"/>
        <v/>
      </c>
      <c r="G5" s="8" t="str">
        <f t="shared" si="0"/>
        <v/>
      </c>
      <c r="H5" s="8" t="str">
        <f t="shared" si="0"/>
        <v/>
      </c>
      <c r="I5" s="9" t="str">
        <f>LOWER(TEXT(I7,"mmm"))</f>
        <v>jul</v>
      </c>
      <c r="J5" s="9" t="str">
        <f t="shared" si="0"/>
        <v/>
      </c>
      <c r="K5" s="9" t="str">
        <f t="shared" si="0"/>
        <v/>
      </c>
      <c r="L5" s="9" t="str">
        <f t="shared" si="0"/>
        <v/>
      </c>
      <c r="M5" s="9" t="str">
        <f t="shared" si="0"/>
        <v/>
      </c>
      <c r="N5" s="9" t="str">
        <f t="shared" si="0"/>
        <v/>
      </c>
      <c r="O5" s="9" t="str">
        <f t="shared" si="0"/>
        <v/>
      </c>
      <c r="P5" s="7" t="str">
        <f>LOWER(TEXT(P7,"mmm"))</f>
        <v>jul</v>
      </c>
      <c r="Q5" s="7" t="str">
        <f t="shared" si="0"/>
        <v/>
      </c>
      <c r="R5" s="7" t="str">
        <f t="shared" si="0"/>
        <v/>
      </c>
      <c r="S5" s="7" t="str">
        <f t="shared" si="0"/>
        <v/>
      </c>
      <c r="T5" s="7" t="str">
        <f t="shared" si="0"/>
        <v>ago</v>
      </c>
      <c r="U5" s="7" t="str">
        <f t="shared" si="0"/>
        <v/>
      </c>
      <c r="V5" s="7" t="str">
        <f t="shared" si="0"/>
        <v/>
      </c>
      <c r="W5" s="6" t="str">
        <f>LOWER(TEXT(W7,"mmm"))</f>
        <v>ago</v>
      </c>
      <c r="X5" s="6" t="str">
        <f t="shared" si="0"/>
        <v/>
      </c>
      <c r="Y5" s="6" t="str">
        <f t="shared" si="0"/>
        <v/>
      </c>
      <c r="Z5" s="6" t="str">
        <f t="shared" si="0"/>
        <v/>
      </c>
      <c r="AA5" s="6" t="str">
        <f t="shared" si="0"/>
        <v/>
      </c>
      <c r="AB5" s="6" t="str">
        <f t="shared" si="0"/>
        <v/>
      </c>
      <c r="AC5" s="6" t="str">
        <f t="shared" si="0"/>
        <v/>
      </c>
      <c r="AD5" s="8" t="str">
        <f>LOWER(TEXT(AD7,"mmm"))</f>
        <v>ago</v>
      </c>
      <c r="AE5" s="8" t="str">
        <f t="shared" ref="AE5" si="1">IF(TEXT(AE7,"mmm")=TEXT(AD7,"mmm"),"",LOWER(TEXT(AE7,"mmm")))</f>
        <v/>
      </c>
      <c r="AF5" s="8" t="str">
        <f t="shared" ref="AF5" si="2">IF(TEXT(AF7,"mmm")=TEXT(AE7,"mmm"),"",LOWER(TEXT(AF7,"mmm")))</f>
        <v/>
      </c>
      <c r="AG5" s="8" t="str">
        <f t="shared" ref="AG5" si="3">IF(TEXT(AG7,"mmm")=TEXT(AF7,"mmm"),"",LOWER(TEXT(AG7,"mmm")))</f>
        <v/>
      </c>
      <c r="AH5" s="8" t="str">
        <f t="shared" ref="AH5" si="4">IF(TEXT(AH7,"mmm")=TEXT(AG7,"mmm"),"",LOWER(TEXT(AH7,"mmm")))</f>
        <v/>
      </c>
      <c r="AI5" s="8" t="str">
        <f t="shared" ref="AI5" si="5">IF(TEXT(AI7,"mmm")=TEXT(AH7,"mmm"),"",LOWER(TEXT(AI7,"mmm")))</f>
        <v/>
      </c>
      <c r="AJ5" s="8" t="str">
        <f t="shared" ref="AJ5" si="6">IF(TEXT(AJ7,"mmm")=TEXT(AI7,"mmm"),"",LOWER(TEXT(AJ7,"mmm")))</f>
        <v/>
      </c>
      <c r="AK5" s="9" t="str">
        <f>LOWER(TEXT(AK7,"mmm"))</f>
        <v>ago</v>
      </c>
      <c r="AL5" s="9" t="str">
        <f t="shared" ref="AL5" si="7">IF(TEXT(AL7,"mmm")=TEXT(AK7,"mmm"),"",LOWER(TEXT(AL7,"mmm")))</f>
        <v/>
      </c>
      <c r="AM5" s="9" t="str">
        <f t="shared" ref="AM5" si="8">IF(TEXT(AM7,"mmm")=TEXT(AL7,"mmm"),"",LOWER(TEXT(AM7,"mmm")))</f>
        <v/>
      </c>
      <c r="AN5" s="9" t="str">
        <f t="shared" ref="AN5" si="9">IF(TEXT(AN7,"mmm")=TEXT(AM7,"mmm"),"",LOWER(TEXT(AN7,"mmm")))</f>
        <v/>
      </c>
      <c r="AO5" s="9" t="str">
        <f t="shared" ref="AO5" si="10">IF(TEXT(AO7,"mmm")=TEXT(AN7,"mmm"),"",LOWER(TEXT(AO7,"mmm")))</f>
        <v/>
      </c>
      <c r="AP5" s="9" t="str">
        <f t="shared" ref="AP5" si="11">IF(TEXT(AP7,"mmm")=TEXT(AO7,"mmm"),"",LOWER(TEXT(AP7,"mmm")))</f>
        <v/>
      </c>
      <c r="AQ5" s="9" t="str">
        <f t="shared" ref="AQ5" si="12">IF(TEXT(AQ7,"mmm")=TEXT(AP7,"mmm"),"",LOWER(TEXT(AQ7,"mmm")))</f>
        <v/>
      </c>
      <c r="AR5" s="7" t="str">
        <f>LOWER(TEXT(AR7,"mmm"))</f>
        <v>ago</v>
      </c>
      <c r="AS5" s="7" t="str">
        <f t="shared" ref="AS5" si="13">IF(TEXT(AS7,"mmm")=TEXT(AR7,"mmm"),"",LOWER(TEXT(AS7,"mmm")))</f>
        <v/>
      </c>
      <c r="AT5" s="7" t="str">
        <f t="shared" ref="AT5" si="14">IF(TEXT(AT7,"mmm")=TEXT(AS7,"mmm"),"",LOWER(TEXT(AT7,"mmm")))</f>
        <v/>
      </c>
      <c r="AU5" s="7" t="str">
        <f t="shared" ref="AU5" si="15">IF(TEXT(AU7,"mmm")=TEXT(AT7,"mmm"),"",LOWER(TEXT(AU7,"mmm")))</f>
        <v/>
      </c>
      <c r="AV5" s="7" t="str">
        <f t="shared" ref="AV5" si="16">IF(TEXT(AV7,"mmm")=TEXT(AU7,"mmm"),"",LOWER(TEXT(AV7,"mmm")))</f>
        <v/>
      </c>
      <c r="AW5" s="7" t="str">
        <f t="shared" ref="AW5" si="17">IF(TEXT(AW7,"mmm")=TEXT(AV7,"mmm"),"",LOWER(TEXT(AW7,"mmm")))</f>
        <v/>
      </c>
      <c r="AX5" s="7" t="str">
        <f t="shared" ref="AX5" si="18">IF(TEXT(AX7,"mmm")=TEXT(AW7,"mmm"),"",LOWER(TEXT(AX7,"mmm")))</f>
        <v/>
      </c>
      <c r="AY5" s="6" t="str">
        <f>LOWER(TEXT(AY7,"mmm"))</f>
        <v>set</v>
      </c>
      <c r="AZ5" s="6" t="str">
        <f t="shared" ref="AZ5" si="19">IF(TEXT(AZ7,"mmm")=TEXT(AY7,"mmm"),"",LOWER(TEXT(AZ7,"mmm")))</f>
        <v/>
      </c>
      <c r="BA5" s="6" t="str">
        <f t="shared" ref="BA5" si="20">IF(TEXT(BA7,"mmm")=TEXT(AZ7,"mmm"),"",LOWER(TEXT(BA7,"mmm")))</f>
        <v/>
      </c>
      <c r="BB5" s="6" t="str">
        <f t="shared" ref="BB5" si="21">IF(TEXT(BB7,"mmm")=TEXT(BA7,"mmm"),"",LOWER(TEXT(BB7,"mmm")))</f>
        <v/>
      </c>
      <c r="BC5" s="6" t="str">
        <f t="shared" ref="BC5" si="22">IF(TEXT(BC7,"mmm")=TEXT(BB7,"mmm"),"",LOWER(TEXT(BC7,"mmm")))</f>
        <v/>
      </c>
      <c r="BD5" s="6" t="str">
        <f t="shared" ref="BD5" si="23">IF(TEXT(BD7,"mmm")=TEXT(BC7,"mmm"),"",LOWER(TEXT(BD7,"mmm")))</f>
        <v/>
      </c>
      <c r="BE5" s="6" t="str">
        <f t="shared" ref="BE5" si="24">IF(TEXT(BE7,"mmm")=TEXT(BD7,"mmm"),"",LOWER(TEXT(BE7,"mmm")))</f>
        <v/>
      </c>
      <c r="BF5" s="8" t="str">
        <f>LOWER(TEXT(BF7,"mmm"))</f>
        <v>set</v>
      </c>
      <c r="BG5" s="8" t="str">
        <f t="shared" ref="BG5" si="25">IF(TEXT(BG7,"mmm")=TEXT(BF7,"mmm"),"",LOWER(TEXT(BG7,"mmm")))</f>
        <v/>
      </c>
      <c r="BH5" s="8" t="str">
        <f t="shared" ref="BH5" si="26">IF(TEXT(BH7,"mmm")=TEXT(BG7,"mmm"),"",LOWER(TEXT(BH7,"mmm")))</f>
        <v/>
      </c>
      <c r="BI5" s="8" t="str">
        <f t="shared" ref="BI5" si="27">IF(TEXT(BI7,"mmm")=TEXT(BH7,"mmm"),"",LOWER(TEXT(BI7,"mmm")))</f>
        <v/>
      </c>
      <c r="BJ5" s="8" t="str">
        <f t="shared" ref="BJ5" si="28">IF(TEXT(BJ7,"mmm")=TEXT(BI7,"mmm"),"",LOWER(TEXT(BJ7,"mmm")))</f>
        <v/>
      </c>
      <c r="BK5" s="8" t="str">
        <f t="shared" ref="BK5" si="29">IF(TEXT(BK7,"mmm")=TEXT(BJ7,"mmm"),"",LOWER(TEXT(BK7,"mmm")))</f>
        <v/>
      </c>
      <c r="BL5" s="8" t="str">
        <f t="shared" ref="BL5" si="30">IF(TEXT(BL7,"mmm")=TEXT(BK7,"mmm"),"",LOWER(TEXT(BL7,"mmm")))</f>
        <v/>
      </c>
      <c r="BM5" s="9" t="str">
        <f>LOWER(TEXT(BM7,"mmm"))</f>
        <v>set</v>
      </c>
      <c r="BN5" s="9" t="str">
        <f t="shared" ref="BN5" si="31">IF(TEXT(BN7,"mmm")=TEXT(BM7,"mmm"),"",LOWER(TEXT(BN7,"mmm")))</f>
        <v/>
      </c>
      <c r="BO5" s="9" t="str">
        <f t="shared" ref="BO5" si="32">IF(TEXT(BO7,"mmm")=TEXT(BN7,"mmm"),"",LOWER(TEXT(BO7,"mmm")))</f>
        <v/>
      </c>
      <c r="BP5" s="9" t="str">
        <f t="shared" ref="BP5" si="33">IF(TEXT(BP7,"mmm")=TEXT(BO7,"mmm"),"",LOWER(TEXT(BP7,"mmm")))</f>
        <v/>
      </c>
      <c r="BQ5" s="9" t="str">
        <f t="shared" ref="BQ5" si="34">IF(TEXT(BQ7,"mmm")=TEXT(BP7,"mmm"),"",LOWER(TEXT(BQ7,"mmm")))</f>
        <v/>
      </c>
      <c r="BR5" s="9" t="str">
        <f t="shared" ref="BR5" si="35">IF(TEXT(BR7,"mmm")=TEXT(BQ7,"mmm"),"",LOWER(TEXT(BR7,"mmm")))</f>
        <v/>
      </c>
      <c r="BS5" s="9" t="str">
        <f t="shared" ref="BS5" si="36">IF(TEXT(BS7,"mmm")=TEXT(BR7,"mmm"),"",LOWER(TEXT(BS7,"mmm")))</f>
        <v/>
      </c>
      <c r="BT5" s="7" t="str">
        <f>LOWER(TEXT(BT7,"mmm"))</f>
        <v>set</v>
      </c>
      <c r="BU5" s="7" t="str">
        <f t="shared" ref="BU5" si="37">IF(TEXT(BU7,"mmm")=TEXT(BT7,"mmm"),"",LOWER(TEXT(BU7,"mmm")))</f>
        <v/>
      </c>
      <c r="BV5" s="7" t="str">
        <f t="shared" ref="BV5" si="38">IF(TEXT(BV7,"mmm")=TEXT(BU7,"mmm"),"",LOWER(TEXT(BV7,"mmm")))</f>
        <v/>
      </c>
      <c r="BW5" s="7" t="str">
        <f t="shared" ref="BW5" si="39">IF(TEXT(BW7,"mmm")=TEXT(BV7,"mmm"),"",LOWER(TEXT(BW7,"mmm")))</f>
        <v/>
      </c>
      <c r="BX5" s="7" t="str">
        <f t="shared" ref="BX5" si="40">IF(TEXT(BX7,"mmm")=TEXT(BW7,"mmm"),"",LOWER(TEXT(BX7,"mmm")))</f>
        <v/>
      </c>
      <c r="BY5" s="7" t="str">
        <f t="shared" ref="BY5" si="41">IF(TEXT(BY7,"mmm")=TEXT(BX7,"mmm"),"",LOWER(TEXT(BY7,"mmm")))</f>
        <v/>
      </c>
      <c r="BZ5" s="7" t="str">
        <f t="shared" ref="BZ5" si="42">IF(TEXT(BZ7,"mmm")=TEXT(BY7,"mmm"),"",LOWER(TEXT(BZ7,"mmm")))</f>
        <v/>
      </c>
      <c r="CA5" s="6" t="str">
        <f>LOWER(TEXT(CA7,"mmm"))</f>
        <v>set</v>
      </c>
      <c r="CB5" s="6" t="str">
        <f t="shared" ref="CB5" si="43">IF(TEXT(CB7,"mmm")=TEXT(CA7,"mmm"),"",LOWER(TEXT(CB7,"mmm")))</f>
        <v/>
      </c>
      <c r="CC5" s="6" t="str">
        <f t="shared" ref="CC5" si="44">IF(TEXT(CC7,"mmm")=TEXT(CB7,"mmm"),"",LOWER(TEXT(CC7,"mmm")))</f>
        <v>out</v>
      </c>
      <c r="CD5" s="6" t="str">
        <f t="shared" ref="CD5" si="45">IF(TEXT(CD7,"mmm")=TEXT(CC7,"mmm"),"",LOWER(TEXT(CD7,"mmm")))</f>
        <v/>
      </c>
      <c r="CE5" s="6" t="str">
        <f t="shared" ref="CE5" si="46">IF(TEXT(CE7,"mmm")=TEXT(CD7,"mmm"),"",LOWER(TEXT(CE7,"mmm")))</f>
        <v/>
      </c>
      <c r="CF5" s="6" t="str">
        <f t="shared" ref="CF5" si="47">IF(TEXT(CF7,"mmm")=TEXT(CE7,"mmm"),"",LOWER(TEXT(CF7,"mmm")))</f>
        <v/>
      </c>
      <c r="CG5" s="6" t="str">
        <f t="shared" ref="CG5" si="48">IF(TEXT(CG7,"mmm")=TEXT(CF7,"mmm"),"",LOWER(TEXT(CG7,"mmm")))</f>
        <v/>
      </c>
      <c r="CH5" s="8" t="str">
        <f>LOWER(TEXT(CH7,"mmm"))</f>
        <v>out</v>
      </c>
      <c r="CI5" s="8" t="str">
        <f t="shared" ref="CI5" si="49">IF(TEXT(CI7,"mmm")=TEXT(CH7,"mmm"),"",LOWER(TEXT(CI7,"mmm")))</f>
        <v/>
      </c>
      <c r="CJ5" s="8" t="str">
        <f t="shared" ref="CJ5" si="50">IF(TEXT(CJ7,"mmm")=TEXT(CI7,"mmm"),"",LOWER(TEXT(CJ7,"mmm")))</f>
        <v/>
      </c>
      <c r="CK5" s="8" t="str">
        <f t="shared" ref="CK5" si="51">IF(TEXT(CK7,"mmm")=TEXT(CJ7,"mmm"),"",LOWER(TEXT(CK7,"mmm")))</f>
        <v/>
      </c>
      <c r="CL5" s="8" t="str">
        <f t="shared" ref="CL5" si="52">IF(TEXT(CL7,"mmm")=TEXT(CK7,"mmm"),"",LOWER(TEXT(CL7,"mmm")))</f>
        <v/>
      </c>
      <c r="CM5" s="8" t="str">
        <f t="shared" ref="CM5" si="53">IF(TEXT(CM7,"mmm")=TEXT(CL7,"mmm"),"",LOWER(TEXT(CM7,"mmm")))</f>
        <v/>
      </c>
      <c r="CN5" s="8" t="str">
        <f t="shared" ref="CN5" si="54">IF(TEXT(CN7,"mmm")=TEXT(CM7,"mmm"),"",LOWER(TEXT(CN7,"mmm")))</f>
        <v/>
      </c>
      <c r="CO5" s="9" t="str">
        <f>LOWER(TEXT(CO7,"mmm"))</f>
        <v>out</v>
      </c>
      <c r="CP5" s="9" t="str">
        <f t="shared" ref="CP5" si="55">IF(TEXT(CP7,"mmm")=TEXT(CO7,"mmm"),"",LOWER(TEXT(CP7,"mmm")))</f>
        <v/>
      </c>
      <c r="CQ5" s="9" t="str">
        <f t="shared" ref="CQ5" si="56">IF(TEXT(CQ7,"mmm")=TEXT(CP7,"mmm"),"",LOWER(TEXT(CQ7,"mmm")))</f>
        <v/>
      </c>
      <c r="CR5" s="9" t="str">
        <f t="shared" ref="CR5" si="57">IF(TEXT(CR7,"mmm")=TEXT(CQ7,"mmm"),"",LOWER(TEXT(CR7,"mmm")))</f>
        <v/>
      </c>
      <c r="CS5" s="9" t="str">
        <f t="shared" ref="CS5" si="58">IF(TEXT(CS7,"mmm")=TEXT(CR7,"mmm"),"",LOWER(TEXT(CS7,"mmm")))</f>
        <v/>
      </c>
      <c r="CT5" s="9" t="str">
        <f t="shared" ref="CT5" si="59">IF(TEXT(CT7,"mmm")=TEXT(CS7,"mmm"),"",LOWER(TEXT(CT7,"mmm")))</f>
        <v/>
      </c>
      <c r="CU5" s="9" t="str">
        <f t="shared" ref="CU5" si="60">IF(TEXT(CU7,"mmm")=TEXT(CT7,"mmm"),"",LOWER(TEXT(CU7,"mmm")))</f>
        <v/>
      </c>
      <c r="CV5" s="7" t="str">
        <f>LOWER(TEXT(CV7,"mmm"))</f>
        <v>out</v>
      </c>
      <c r="CW5" s="7" t="str">
        <f t="shared" ref="CW5" si="61">IF(TEXT(CW7,"mmm")=TEXT(CV7,"mmm"),"",LOWER(TEXT(CW7,"mmm")))</f>
        <v/>
      </c>
      <c r="CX5" s="7" t="str">
        <f t="shared" ref="CX5" si="62">IF(TEXT(CX7,"mmm")=TEXT(CW7,"mmm"),"",LOWER(TEXT(CX7,"mmm")))</f>
        <v/>
      </c>
      <c r="CY5" s="7" t="str">
        <f t="shared" ref="CY5" si="63">IF(TEXT(CY7,"mmm")=TEXT(CX7,"mmm"),"",LOWER(TEXT(CY7,"mmm")))</f>
        <v/>
      </c>
      <c r="CZ5" s="7" t="str">
        <f t="shared" ref="CZ5" si="64">IF(TEXT(CZ7,"mmm")=TEXT(CY7,"mmm"),"",LOWER(TEXT(CZ7,"mmm")))</f>
        <v/>
      </c>
      <c r="DA5" s="7" t="str">
        <f t="shared" ref="DA5" si="65">IF(TEXT(DA7,"mmm")=TEXT(CZ7,"mmm"),"",LOWER(TEXT(DA7,"mmm")))</f>
        <v/>
      </c>
      <c r="DB5" s="7" t="str">
        <f t="shared" ref="DB5" si="66">IF(TEXT(DB7,"mmm")=TEXT(DA7,"mmm"),"",LOWER(TEXT(DB7,"mmm")))</f>
        <v/>
      </c>
      <c r="DC5" s="6" t="str">
        <f>LOWER(TEXT(DC7,"mmm"))</f>
        <v>out</v>
      </c>
      <c r="DD5" s="6" t="str">
        <f t="shared" ref="DD5" si="67">IF(TEXT(DD7,"mmm")=TEXT(DC7,"mmm"),"",LOWER(TEXT(DD7,"mmm")))</f>
        <v/>
      </c>
      <c r="DE5" s="6" t="str">
        <f t="shared" ref="DE5" si="68">IF(TEXT(DE7,"mmm")=TEXT(DD7,"mmm"),"",LOWER(TEXT(DE7,"mmm")))</f>
        <v/>
      </c>
      <c r="DF5" s="6" t="str">
        <f t="shared" ref="DF5" si="69">IF(TEXT(DF7,"mmm")=TEXT(DE7,"mmm"),"",LOWER(TEXT(DF7,"mmm")))</f>
        <v/>
      </c>
      <c r="DG5" s="6" t="str">
        <f t="shared" ref="DG5" si="70">IF(TEXT(DG7,"mmm")=TEXT(DF7,"mmm"),"",LOWER(TEXT(DG7,"mmm")))</f>
        <v/>
      </c>
      <c r="DH5" s="6" t="str">
        <f t="shared" ref="DH5" si="71">IF(TEXT(DH7,"mmm")=TEXT(DG7,"mmm"),"",LOWER(TEXT(DH7,"mmm")))</f>
        <v>nov</v>
      </c>
      <c r="DI5" s="6" t="str">
        <f t="shared" ref="DI5" si="72">IF(TEXT(DI7,"mmm")=TEXT(DH7,"mmm"),"",LOWER(TEXT(DI7,"mmm")))</f>
        <v/>
      </c>
      <c r="DJ5" s="8" t="str">
        <f>LOWER(TEXT(DJ7,"mmm"))</f>
        <v>nov</v>
      </c>
      <c r="DK5" s="8" t="str">
        <f t="shared" ref="DK5" si="73">IF(TEXT(DK7,"mmm")=TEXT(DJ7,"mmm"),"",LOWER(TEXT(DK7,"mmm")))</f>
        <v/>
      </c>
      <c r="DL5" s="8" t="str">
        <f t="shared" ref="DL5" si="74">IF(TEXT(DL7,"mmm")=TEXT(DK7,"mmm"),"",LOWER(TEXT(DL7,"mmm")))</f>
        <v/>
      </c>
      <c r="DM5" s="8" t="str">
        <f t="shared" ref="DM5" si="75">IF(TEXT(DM7,"mmm")=TEXT(DL7,"mmm"),"",LOWER(TEXT(DM7,"mmm")))</f>
        <v/>
      </c>
      <c r="DN5" s="8" t="str">
        <f t="shared" ref="DN5" si="76">IF(TEXT(DN7,"mmm")=TEXT(DM7,"mmm"),"",LOWER(TEXT(DN7,"mmm")))</f>
        <v/>
      </c>
      <c r="DO5" s="8" t="str">
        <f t="shared" ref="DO5" si="77">IF(TEXT(DO7,"mmm")=TEXT(DN7,"mmm"),"",LOWER(TEXT(DO7,"mmm")))</f>
        <v/>
      </c>
      <c r="DP5" s="8" t="str">
        <f t="shared" ref="DP5" si="78">IF(TEXT(DP7,"mmm")=TEXT(DO7,"mmm"),"",LOWER(TEXT(DP7,"mmm")))</f>
        <v/>
      </c>
      <c r="DQ5" s="9" t="str">
        <f>LOWER(TEXT(DQ7,"mmm"))</f>
        <v>nov</v>
      </c>
      <c r="DR5" s="9" t="str">
        <f t="shared" ref="DR5" si="79">IF(TEXT(DR7,"mmm")=TEXT(DQ7,"mmm"),"",LOWER(TEXT(DR7,"mmm")))</f>
        <v/>
      </c>
      <c r="DS5" s="9" t="str">
        <f t="shared" ref="DS5" si="80">IF(TEXT(DS7,"mmm")=TEXT(DR7,"mmm"),"",LOWER(TEXT(DS7,"mmm")))</f>
        <v/>
      </c>
      <c r="DT5" s="9" t="str">
        <f t="shared" ref="DT5" si="81">IF(TEXT(DT7,"mmm")=TEXT(DS7,"mmm"),"",LOWER(TEXT(DT7,"mmm")))</f>
        <v/>
      </c>
      <c r="DU5" s="9" t="str">
        <f t="shared" ref="DU5" si="82">IF(TEXT(DU7,"mmm")=TEXT(DT7,"mmm"),"",LOWER(TEXT(DU7,"mmm")))</f>
        <v/>
      </c>
      <c r="DV5" s="9" t="str">
        <f t="shared" ref="DV5" si="83">IF(TEXT(DV7,"mmm")=TEXT(DU7,"mmm"),"",LOWER(TEXT(DV7,"mmm")))</f>
        <v/>
      </c>
      <c r="DW5" s="9" t="str">
        <f t="shared" ref="DW5" si="84">IF(TEXT(DW7,"mmm")=TEXT(DV7,"mmm"),"",LOWER(TEXT(DW7,"mmm")))</f>
        <v/>
      </c>
      <c r="DX5" s="7" t="str">
        <f>LOWER(TEXT(DX7,"mmm"))</f>
        <v>nov</v>
      </c>
      <c r="DY5" s="7" t="str">
        <f t="shared" ref="DY5" si="85">IF(TEXT(DY7,"mmm")=TEXT(DX7,"mmm"),"",LOWER(TEXT(DY7,"mmm")))</f>
        <v/>
      </c>
      <c r="DZ5" s="7" t="str">
        <f t="shared" ref="DZ5" si="86">IF(TEXT(DZ7,"mmm")=TEXT(DY7,"mmm"),"",LOWER(TEXT(DZ7,"mmm")))</f>
        <v/>
      </c>
      <c r="EA5" s="7" t="str">
        <f t="shared" ref="EA5" si="87">IF(TEXT(EA7,"mmm")=TEXT(DZ7,"mmm"),"",LOWER(TEXT(EA7,"mmm")))</f>
        <v/>
      </c>
      <c r="EB5" s="7" t="str">
        <f t="shared" ref="EB5" si="88">IF(TEXT(EB7,"mmm")=TEXT(EA7,"mmm"),"",LOWER(TEXT(EB7,"mmm")))</f>
        <v/>
      </c>
      <c r="EC5" s="7" t="str">
        <f t="shared" ref="EC5" si="89">IF(TEXT(EC7,"mmm")=TEXT(EB7,"mmm"),"",LOWER(TEXT(EC7,"mmm")))</f>
        <v/>
      </c>
      <c r="ED5" s="7" t="str">
        <f t="shared" ref="ED5" si="90">IF(TEXT(ED7,"mmm")=TEXT(EC7,"mmm"),"",LOWER(TEXT(ED7,"mmm")))</f>
        <v/>
      </c>
      <c r="EE5" s="6" t="str">
        <f>LOWER(TEXT(EE7,"mmm"))</f>
        <v>nov</v>
      </c>
      <c r="EF5" s="6" t="str">
        <f t="shared" ref="EF5" si="91">IF(TEXT(EF7,"mmm")=TEXT(EE7,"mmm"),"",LOWER(TEXT(EF7,"mmm")))</f>
        <v/>
      </c>
      <c r="EG5" s="6" t="str">
        <f t="shared" ref="EG5" si="92">IF(TEXT(EG7,"mmm")=TEXT(EF7,"mmm"),"",LOWER(TEXT(EG7,"mmm")))</f>
        <v/>
      </c>
      <c r="EH5" s="6" t="str">
        <f t="shared" ref="EH5" si="93">IF(TEXT(EH7,"mmm")=TEXT(EG7,"mmm"),"",LOWER(TEXT(EH7,"mmm")))</f>
        <v/>
      </c>
      <c r="EI5" s="6" t="str">
        <f t="shared" ref="EI5" si="94">IF(TEXT(EI7,"mmm")=TEXT(EH7,"mmm"),"",LOWER(TEXT(EI7,"mmm")))</f>
        <v/>
      </c>
      <c r="EJ5" s="6" t="str">
        <f t="shared" ref="EJ5" si="95">IF(TEXT(EJ7,"mmm")=TEXT(EI7,"mmm"),"",LOWER(TEXT(EJ7,"mmm")))</f>
        <v/>
      </c>
      <c r="EK5" s="6" t="str">
        <f t="shared" ref="EK5" si="96">IF(TEXT(EK7,"mmm")=TEXT(EJ7,"mmm"),"",LOWER(TEXT(EK7,"mmm")))</f>
        <v/>
      </c>
      <c r="EL5" s="8" t="str">
        <f>LOWER(TEXT(EL7,"mmm"))</f>
        <v>dez</v>
      </c>
      <c r="EM5" s="8" t="str">
        <f t="shared" ref="EM5" si="97">IF(TEXT(EM7,"mmm")=TEXT(EL7,"mmm"),"",LOWER(TEXT(EM7,"mmm")))</f>
        <v/>
      </c>
      <c r="EN5" s="8" t="str">
        <f t="shared" ref="EN5" si="98">IF(TEXT(EN7,"mmm")=TEXT(EM7,"mmm"),"",LOWER(TEXT(EN7,"mmm")))</f>
        <v/>
      </c>
      <c r="EO5" s="8" t="str">
        <f t="shared" ref="EO5" si="99">IF(TEXT(EO7,"mmm")=TEXT(EN7,"mmm"),"",LOWER(TEXT(EO7,"mmm")))</f>
        <v/>
      </c>
      <c r="EP5" s="8" t="str">
        <f t="shared" ref="EP5" si="100">IF(TEXT(EP7,"mmm")=TEXT(EO7,"mmm"),"",LOWER(TEXT(EP7,"mmm")))</f>
        <v/>
      </c>
      <c r="EQ5" s="8" t="str">
        <f t="shared" ref="EQ5" si="101">IF(TEXT(EQ7,"mmm")=TEXT(EP7,"mmm"),"",LOWER(TEXT(EQ7,"mmm")))</f>
        <v/>
      </c>
      <c r="ER5" s="8" t="str">
        <f t="shared" ref="ER5" si="102">IF(TEXT(ER7,"mmm")=TEXT(EQ7,"mmm"),"",LOWER(TEXT(ER7,"mmm")))</f>
        <v/>
      </c>
      <c r="ES5" s="9" t="str">
        <f>LOWER(TEXT(ES7,"mmm"))</f>
        <v>dez</v>
      </c>
      <c r="ET5" s="9" t="str">
        <f t="shared" ref="ET5" si="103">IF(TEXT(ET7,"mmm")=TEXT(ES7,"mmm"),"",LOWER(TEXT(ET7,"mmm")))</f>
        <v/>
      </c>
      <c r="EU5" s="9" t="str">
        <f t="shared" ref="EU5" si="104">IF(TEXT(EU7,"mmm")=TEXT(ET7,"mmm"),"",LOWER(TEXT(EU7,"mmm")))</f>
        <v/>
      </c>
      <c r="EV5" s="9" t="str">
        <f t="shared" ref="EV5" si="105">IF(TEXT(EV7,"mmm")=TEXT(EU7,"mmm"),"",LOWER(TEXT(EV7,"mmm")))</f>
        <v/>
      </c>
      <c r="EW5" s="9" t="str">
        <f t="shared" ref="EW5" si="106">IF(TEXT(EW7,"mmm")=TEXT(EV7,"mmm"),"",LOWER(TEXT(EW7,"mmm")))</f>
        <v/>
      </c>
      <c r="EX5" s="9" t="str">
        <f t="shared" ref="EX5" si="107">IF(TEXT(EX7,"mmm")=TEXT(EW7,"mmm"),"",LOWER(TEXT(EX7,"mmm")))</f>
        <v/>
      </c>
      <c r="EY5" s="9" t="str">
        <f t="shared" ref="EY5" si="108">IF(TEXT(EY7,"mmm")=TEXT(EX7,"mmm"),"",LOWER(TEXT(EY7,"mmm")))</f>
        <v/>
      </c>
      <c r="EZ5" s="7" t="str">
        <f>LOWER(TEXT(EZ7,"mmm"))</f>
        <v>dez</v>
      </c>
      <c r="FA5" s="7" t="str">
        <f t="shared" ref="FA5" si="109">IF(TEXT(FA7,"mmm")=TEXT(EZ7,"mmm"),"",LOWER(TEXT(FA7,"mmm")))</f>
        <v/>
      </c>
      <c r="FB5" s="7" t="str">
        <f t="shared" ref="FB5" si="110">IF(TEXT(FB7,"mmm")=TEXT(FA7,"mmm"),"",LOWER(TEXT(FB7,"mmm")))</f>
        <v/>
      </c>
      <c r="FC5" s="7" t="str">
        <f t="shared" ref="FC5" si="111">IF(TEXT(FC7,"mmm")=TEXT(FB7,"mmm"),"",LOWER(TEXT(FC7,"mmm")))</f>
        <v/>
      </c>
      <c r="FD5" s="7" t="str">
        <f t="shared" ref="FD5" si="112">IF(TEXT(FD7,"mmm")=TEXT(FC7,"mmm"),"",LOWER(TEXT(FD7,"mmm")))</f>
        <v/>
      </c>
      <c r="FE5" s="7" t="str">
        <f t="shared" ref="FE5" si="113">IF(TEXT(FE7,"mmm")=TEXT(FD7,"mmm"),"",LOWER(TEXT(FE7,"mmm")))</f>
        <v/>
      </c>
      <c r="FF5" s="7" t="str">
        <f t="shared" ref="FF5" si="114">IF(TEXT(FF7,"mmm")=TEXT(FE7,"mmm"),"",LOWER(TEXT(FF7,"mmm")))</f>
        <v/>
      </c>
      <c r="FG5" s="49" t="s">
        <v>26</v>
      </c>
      <c r="FH5" t="s">
        <v>25</v>
      </c>
    </row>
    <row r="6" spans="1:164" ht="12" customHeight="1">
      <c r="A6" s="13"/>
      <c r="B6" s="2" t="str">
        <f t="shared" ref="B6:BM6" si="115">LOWER(TEXT(B7,"ddd"))</f>
        <v>seg</v>
      </c>
      <c r="C6" s="2" t="str">
        <f t="shared" si="115"/>
        <v>ter</v>
      </c>
      <c r="D6" s="2" t="str">
        <f t="shared" si="115"/>
        <v>qua</v>
      </c>
      <c r="E6" s="2" t="str">
        <f t="shared" si="115"/>
        <v>qui</v>
      </c>
      <c r="F6" s="2" t="str">
        <f t="shared" si="115"/>
        <v>sex</v>
      </c>
      <c r="G6" s="2" t="str">
        <f t="shared" si="115"/>
        <v>sáb</v>
      </c>
      <c r="H6" s="3" t="str">
        <f t="shared" si="115"/>
        <v>dom</v>
      </c>
      <c r="I6" s="3" t="str">
        <f t="shared" si="115"/>
        <v>seg</v>
      </c>
      <c r="J6" s="3" t="str">
        <f t="shared" si="115"/>
        <v>ter</v>
      </c>
      <c r="K6" s="3" t="str">
        <f t="shared" si="115"/>
        <v>qua</v>
      </c>
      <c r="L6" s="3" t="str">
        <f t="shared" si="115"/>
        <v>qui</v>
      </c>
      <c r="M6" s="3" t="str">
        <f t="shared" si="115"/>
        <v>sex</v>
      </c>
      <c r="N6" s="3" t="str">
        <f t="shared" si="115"/>
        <v>sáb</v>
      </c>
      <c r="O6" s="3" t="str">
        <f t="shared" si="115"/>
        <v>dom</v>
      </c>
      <c r="P6" s="5" t="str">
        <f t="shared" si="115"/>
        <v>seg</v>
      </c>
      <c r="Q6" s="5" t="str">
        <f t="shared" si="115"/>
        <v>ter</v>
      </c>
      <c r="R6" s="5" t="str">
        <f t="shared" si="115"/>
        <v>qua</v>
      </c>
      <c r="S6" s="5" t="str">
        <f t="shared" si="115"/>
        <v>qui</v>
      </c>
      <c r="T6" s="5" t="str">
        <f t="shared" si="115"/>
        <v>sex</v>
      </c>
      <c r="U6" s="5" t="str">
        <f t="shared" si="115"/>
        <v>sáb</v>
      </c>
      <c r="V6" s="5" t="str">
        <f t="shared" si="115"/>
        <v>dom</v>
      </c>
      <c r="W6" s="4" t="str">
        <f t="shared" si="115"/>
        <v>seg</v>
      </c>
      <c r="X6" s="4" t="str">
        <f t="shared" si="115"/>
        <v>ter</v>
      </c>
      <c r="Y6" s="4" t="str">
        <f t="shared" si="115"/>
        <v>qua</v>
      </c>
      <c r="Z6" s="4" t="str">
        <f t="shared" si="115"/>
        <v>qui</v>
      </c>
      <c r="AA6" s="4" t="str">
        <f t="shared" si="115"/>
        <v>sex</v>
      </c>
      <c r="AB6" s="4" t="str">
        <f t="shared" si="115"/>
        <v>sáb</v>
      </c>
      <c r="AC6" s="4" t="str">
        <f t="shared" si="115"/>
        <v>dom</v>
      </c>
      <c r="AD6" s="2" t="str">
        <f t="shared" si="115"/>
        <v>seg</v>
      </c>
      <c r="AE6" s="2" t="str">
        <f t="shared" si="115"/>
        <v>ter</v>
      </c>
      <c r="AF6" s="2" t="str">
        <f t="shared" si="115"/>
        <v>qua</v>
      </c>
      <c r="AG6" s="2" t="str">
        <f t="shared" si="115"/>
        <v>qui</v>
      </c>
      <c r="AH6" s="2" t="str">
        <f t="shared" si="115"/>
        <v>sex</v>
      </c>
      <c r="AI6" s="2" t="str">
        <f t="shared" si="115"/>
        <v>sáb</v>
      </c>
      <c r="AJ6" s="3" t="str">
        <f t="shared" si="115"/>
        <v>dom</v>
      </c>
      <c r="AK6" s="3" t="str">
        <f t="shared" si="115"/>
        <v>seg</v>
      </c>
      <c r="AL6" s="3" t="str">
        <f t="shared" si="115"/>
        <v>ter</v>
      </c>
      <c r="AM6" s="3" t="str">
        <f t="shared" si="115"/>
        <v>qua</v>
      </c>
      <c r="AN6" s="3" t="str">
        <f t="shared" si="115"/>
        <v>qui</v>
      </c>
      <c r="AO6" s="3" t="str">
        <f t="shared" si="115"/>
        <v>sex</v>
      </c>
      <c r="AP6" s="3" t="str">
        <f t="shared" si="115"/>
        <v>sáb</v>
      </c>
      <c r="AQ6" s="3" t="str">
        <f t="shared" si="115"/>
        <v>dom</v>
      </c>
      <c r="AR6" s="5" t="str">
        <f t="shared" si="115"/>
        <v>seg</v>
      </c>
      <c r="AS6" s="5" t="str">
        <f t="shared" si="115"/>
        <v>ter</v>
      </c>
      <c r="AT6" s="5" t="str">
        <f t="shared" si="115"/>
        <v>qua</v>
      </c>
      <c r="AU6" s="5" t="str">
        <f t="shared" si="115"/>
        <v>qui</v>
      </c>
      <c r="AV6" s="5" t="str">
        <f t="shared" si="115"/>
        <v>sex</v>
      </c>
      <c r="AW6" s="5" t="str">
        <f t="shared" si="115"/>
        <v>sáb</v>
      </c>
      <c r="AX6" s="5" t="str">
        <f t="shared" si="115"/>
        <v>dom</v>
      </c>
      <c r="AY6" s="4" t="str">
        <f t="shared" si="115"/>
        <v>seg</v>
      </c>
      <c r="AZ6" s="4" t="str">
        <f t="shared" si="115"/>
        <v>ter</v>
      </c>
      <c r="BA6" s="4" t="str">
        <f t="shared" si="115"/>
        <v>qua</v>
      </c>
      <c r="BB6" s="4" t="str">
        <f t="shared" si="115"/>
        <v>qui</v>
      </c>
      <c r="BC6" s="4" t="str">
        <f t="shared" si="115"/>
        <v>sex</v>
      </c>
      <c r="BD6" s="4" t="str">
        <f t="shared" si="115"/>
        <v>sáb</v>
      </c>
      <c r="BE6" s="4" t="str">
        <f t="shared" si="115"/>
        <v>dom</v>
      </c>
      <c r="BF6" s="2" t="str">
        <f t="shared" si="115"/>
        <v>seg</v>
      </c>
      <c r="BG6" s="2" t="str">
        <f t="shared" si="115"/>
        <v>ter</v>
      </c>
      <c r="BH6" s="2" t="str">
        <f t="shared" si="115"/>
        <v>qua</v>
      </c>
      <c r="BI6" s="2" t="str">
        <f t="shared" si="115"/>
        <v>qui</v>
      </c>
      <c r="BJ6" s="2" t="str">
        <f t="shared" si="115"/>
        <v>sex</v>
      </c>
      <c r="BK6" s="2" t="str">
        <f t="shared" si="115"/>
        <v>sáb</v>
      </c>
      <c r="BL6" s="3" t="str">
        <f t="shared" si="115"/>
        <v>dom</v>
      </c>
      <c r="BM6" s="3" t="str">
        <f t="shared" si="115"/>
        <v>seg</v>
      </c>
      <c r="BN6" s="3" t="str">
        <f t="shared" ref="BN6:DY6" si="116">LOWER(TEXT(BN7,"ddd"))</f>
        <v>ter</v>
      </c>
      <c r="BO6" s="3" t="str">
        <f t="shared" si="116"/>
        <v>qua</v>
      </c>
      <c r="BP6" s="3" t="str">
        <f t="shared" si="116"/>
        <v>qui</v>
      </c>
      <c r="BQ6" s="3" t="str">
        <f t="shared" si="116"/>
        <v>sex</v>
      </c>
      <c r="BR6" s="3" t="str">
        <f t="shared" si="116"/>
        <v>sáb</v>
      </c>
      <c r="BS6" s="3" t="str">
        <f t="shared" si="116"/>
        <v>dom</v>
      </c>
      <c r="BT6" s="5" t="str">
        <f t="shared" si="116"/>
        <v>seg</v>
      </c>
      <c r="BU6" s="5" t="str">
        <f t="shared" si="116"/>
        <v>ter</v>
      </c>
      <c r="BV6" s="5" t="str">
        <f t="shared" si="116"/>
        <v>qua</v>
      </c>
      <c r="BW6" s="5" t="str">
        <f t="shared" si="116"/>
        <v>qui</v>
      </c>
      <c r="BX6" s="5" t="str">
        <f t="shared" si="116"/>
        <v>sex</v>
      </c>
      <c r="BY6" s="5" t="str">
        <f t="shared" si="116"/>
        <v>sáb</v>
      </c>
      <c r="BZ6" s="5" t="str">
        <f t="shared" si="116"/>
        <v>dom</v>
      </c>
      <c r="CA6" s="4" t="str">
        <f t="shared" si="116"/>
        <v>seg</v>
      </c>
      <c r="CB6" s="4" t="str">
        <f t="shared" si="116"/>
        <v>ter</v>
      </c>
      <c r="CC6" s="4" t="str">
        <f t="shared" si="116"/>
        <v>qua</v>
      </c>
      <c r="CD6" s="4" t="str">
        <f t="shared" si="116"/>
        <v>qui</v>
      </c>
      <c r="CE6" s="4" t="str">
        <f t="shared" si="116"/>
        <v>sex</v>
      </c>
      <c r="CF6" s="4" t="str">
        <f t="shared" si="116"/>
        <v>sáb</v>
      </c>
      <c r="CG6" s="4" t="str">
        <f t="shared" si="116"/>
        <v>dom</v>
      </c>
      <c r="CH6" s="2" t="str">
        <f t="shared" si="116"/>
        <v>seg</v>
      </c>
      <c r="CI6" s="2" t="str">
        <f t="shared" si="116"/>
        <v>ter</v>
      </c>
      <c r="CJ6" s="2" t="str">
        <f t="shared" si="116"/>
        <v>qua</v>
      </c>
      <c r="CK6" s="2" t="str">
        <f t="shared" si="116"/>
        <v>qui</v>
      </c>
      <c r="CL6" s="2" t="str">
        <f t="shared" si="116"/>
        <v>sex</v>
      </c>
      <c r="CM6" s="2" t="str">
        <f t="shared" si="116"/>
        <v>sáb</v>
      </c>
      <c r="CN6" s="3" t="str">
        <f t="shared" si="116"/>
        <v>dom</v>
      </c>
      <c r="CO6" s="3" t="str">
        <f t="shared" si="116"/>
        <v>seg</v>
      </c>
      <c r="CP6" s="3" t="str">
        <f t="shared" si="116"/>
        <v>ter</v>
      </c>
      <c r="CQ6" s="3" t="str">
        <f t="shared" si="116"/>
        <v>qua</v>
      </c>
      <c r="CR6" s="3" t="str">
        <f t="shared" si="116"/>
        <v>qui</v>
      </c>
      <c r="CS6" s="3" t="str">
        <f t="shared" si="116"/>
        <v>sex</v>
      </c>
      <c r="CT6" s="3" t="str">
        <f t="shared" si="116"/>
        <v>sáb</v>
      </c>
      <c r="CU6" s="3" t="str">
        <f t="shared" si="116"/>
        <v>dom</v>
      </c>
      <c r="CV6" s="5" t="str">
        <f t="shared" si="116"/>
        <v>seg</v>
      </c>
      <c r="CW6" s="5" t="str">
        <f t="shared" si="116"/>
        <v>ter</v>
      </c>
      <c r="CX6" s="5" t="str">
        <f t="shared" si="116"/>
        <v>qua</v>
      </c>
      <c r="CY6" s="5" t="str">
        <f t="shared" si="116"/>
        <v>qui</v>
      </c>
      <c r="CZ6" s="5" t="str">
        <f t="shared" si="116"/>
        <v>sex</v>
      </c>
      <c r="DA6" s="5" t="str">
        <f t="shared" si="116"/>
        <v>sáb</v>
      </c>
      <c r="DB6" s="5" t="str">
        <f t="shared" si="116"/>
        <v>dom</v>
      </c>
      <c r="DC6" s="4" t="str">
        <f t="shared" si="116"/>
        <v>seg</v>
      </c>
      <c r="DD6" s="4" t="str">
        <f t="shared" si="116"/>
        <v>ter</v>
      </c>
      <c r="DE6" s="4" t="str">
        <f t="shared" si="116"/>
        <v>qua</v>
      </c>
      <c r="DF6" s="4" t="str">
        <f t="shared" si="116"/>
        <v>qui</v>
      </c>
      <c r="DG6" s="4" t="str">
        <f t="shared" si="116"/>
        <v>sex</v>
      </c>
      <c r="DH6" s="4" t="str">
        <f t="shared" si="116"/>
        <v>sáb</v>
      </c>
      <c r="DI6" s="4" t="str">
        <f t="shared" si="116"/>
        <v>dom</v>
      </c>
      <c r="DJ6" s="2" t="str">
        <f t="shared" si="116"/>
        <v>seg</v>
      </c>
      <c r="DK6" s="2" t="str">
        <f t="shared" si="116"/>
        <v>ter</v>
      </c>
      <c r="DL6" s="2" t="str">
        <f t="shared" si="116"/>
        <v>qua</v>
      </c>
      <c r="DM6" s="2" t="str">
        <f t="shared" si="116"/>
        <v>qui</v>
      </c>
      <c r="DN6" s="2" t="str">
        <f t="shared" si="116"/>
        <v>sex</v>
      </c>
      <c r="DO6" s="2" t="str">
        <f t="shared" si="116"/>
        <v>sáb</v>
      </c>
      <c r="DP6" s="3" t="str">
        <f t="shared" si="116"/>
        <v>dom</v>
      </c>
      <c r="DQ6" s="3" t="str">
        <f t="shared" si="116"/>
        <v>seg</v>
      </c>
      <c r="DR6" s="3" t="str">
        <f t="shared" si="116"/>
        <v>ter</v>
      </c>
      <c r="DS6" s="3" t="str">
        <f t="shared" si="116"/>
        <v>qua</v>
      </c>
      <c r="DT6" s="3" t="str">
        <f t="shared" si="116"/>
        <v>qui</v>
      </c>
      <c r="DU6" s="3" t="str">
        <f t="shared" si="116"/>
        <v>sex</v>
      </c>
      <c r="DV6" s="3" t="str">
        <f t="shared" si="116"/>
        <v>sáb</v>
      </c>
      <c r="DW6" s="3" t="str">
        <f t="shared" si="116"/>
        <v>dom</v>
      </c>
      <c r="DX6" s="5" t="str">
        <f t="shared" si="116"/>
        <v>seg</v>
      </c>
      <c r="DY6" s="5" t="str">
        <f t="shared" si="116"/>
        <v>ter</v>
      </c>
      <c r="DZ6" s="5" t="str">
        <f t="shared" ref="DZ6:FF6" si="117">LOWER(TEXT(DZ7,"ddd"))</f>
        <v>qua</v>
      </c>
      <c r="EA6" s="5" t="str">
        <f t="shared" si="117"/>
        <v>qui</v>
      </c>
      <c r="EB6" s="5" t="str">
        <f t="shared" si="117"/>
        <v>sex</v>
      </c>
      <c r="EC6" s="5" t="str">
        <f t="shared" si="117"/>
        <v>sáb</v>
      </c>
      <c r="ED6" s="5" t="str">
        <f t="shared" si="117"/>
        <v>dom</v>
      </c>
      <c r="EE6" s="4" t="str">
        <f t="shared" si="117"/>
        <v>seg</v>
      </c>
      <c r="EF6" s="4" t="str">
        <f t="shared" si="117"/>
        <v>ter</v>
      </c>
      <c r="EG6" s="4" t="str">
        <f t="shared" si="117"/>
        <v>qua</v>
      </c>
      <c r="EH6" s="4" t="str">
        <f t="shared" si="117"/>
        <v>qui</v>
      </c>
      <c r="EI6" s="4" t="str">
        <f t="shared" si="117"/>
        <v>sex</v>
      </c>
      <c r="EJ6" s="4" t="str">
        <f t="shared" si="117"/>
        <v>sáb</v>
      </c>
      <c r="EK6" s="4" t="str">
        <f t="shared" si="117"/>
        <v>dom</v>
      </c>
      <c r="EL6" s="2" t="str">
        <f t="shared" si="117"/>
        <v>seg</v>
      </c>
      <c r="EM6" s="2" t="str">
        <f t="shared" si="117"/>
        <v>ter</v>
      </c>
      <c r="EN6" s="2" t="str">
        <f t="shared" si="117"/>
        <v>qua</v>
      </c>
      <c r="EO6" s="2" t="str">
        <f t="shared" si="117"/>
        <v>qui</v>
      </c>
      <c r="EP6" s="2" t="str">
        <f t="shared" si="117"/>
        <v>sex</v>
      </c>
      <c r="EQ6" s="2" t="str">
        <f t="shared" si="117"/>
        <v>sáb</v>
      </c>
      <c r="ER6" s="3" t="str">
        <f t="shared" si="117"/>
        <v>dom</v>
      </c>
      <c r="ES6" s="3" t="str">
        <f t="shared" si="117"/>
        <v>seg</v>
      </c>
      <c r="ET6" s="3" t="str">
        <f t="shared" si="117"/>
        <v>ter</v>
      </c>
      <c r="EU6" s="3" t="str">
        <f t="shared" si="117"/>
        <v>qua</v>
      </c>
      <c r="EV6" s="3" t="str">
        <f t="shared" si="117"/>
        <v>qui</v>
      </c>
      <c r="EW6" s="3" t="str">
        <f t="shared" si="117"/>
        <v>sex</v>
      </c>
      <c r="EX6" s="3" t="str">
        <f t="shared" si="117"/>
        <v>sáb</v>
      </c>
      <c r="EY6" s="3" t="str">
        <f t="shared" si="117"/>
        <v>dom</v>
      </c>
      <c r="EZ6" s="5" t="str">
        <f t="shared" si="117"/>
        <v>seg</v>
      </c>
      <c r="FA6" s="5" t="str">
        <f t="shared" si="117"/>
        <v>ter</v>
      </c>
      <c r="FB6" s="5" t="str">
        <f t="shared" si="117"/>
        <v>qua</v>
      </c>
      <c r="FC6" s="5" t="str">
        <f t="shared" si="117"/>
        <v>qui</v>
      </c>
      <c r="FD6" s="5" t="str">
        <f t="shared" si="117"/>
        <v>sex</v>
      </c>
      <c r="FE6" s="5" t="str">
        <f t="shared" si="117"/>
        <v>sáb</v>
      </c>
      <c r="FF6" s="5" t="str">
        <f t="shared" si="117"/>
        <v>dom</v>
      </c>
      <c r="FG6" s="49"/>
    </row>
    <row r="7" spans="1:164" ht="13.5" customHeight="1" thickBot="1">
      <c r="A7" s="17" t="s">
        <v>27</v>
      </c>
      <c r="B7" s="29">
        <f>B2</f>
        <v>45852</v>
      </c>
      <c r="C7" s="29">
        <f>B7+1</f>
        <v>45853</v>
      </c>
      <c r="D7" s="29">
        <f t="shared" ref="D7:P7" si="118">C7+1</f>
        <v>45854</v>
      </c>
      <c r="E7" s="29">
        <f t="shared" si="118"/>
        <v>45855</v>
      </c>
      <c r="F7" s="29">
        <f t="shared" si="118"/>
        <v>45856</v>
      </c>
      <c r="G7" s="29">
        <f t="shared" si="118"/>
        <v>45857</v>
      </c>
      <c r="H7" s="30">
        <f t="shared" si="118"/>
        <v>45858</v>
      </c>
      <c r="I7" s="30">
        <f t="shared" si="118"/>
        <v>45859</v>
      </c>
      <c r="J7" s="30">
        <f t="shared" si="118"/>
        <v>45860</v>
      </c>
      <c r="K7" s="30">
        <f t="shared" si="118"/>
        <v>45861</v>
      </c>
      <c r="L7" s="30">
        <f t="shared" si="118"/>
        <v>45862</v>
      </c>
      <c r="M7" s="30">
        <f t="shared" si="118"/>
        <v>45863</v>
      </c>
      <c r="N7" s="30">
        <f t="shared" si="118"/>
        <v>45864</v>
      </c>
      <c r="O7" s="30">
        <f t="shared" si="118"/>
        <v>45865</v>
      </c>
      <c r="P7" s="31">
        <f t="shared" si="118"/>
        <v>45866</v>
      </c>
      <c r="Q7" s="31">
        <f t="shared" ref="Q7:W7" si="119">P7+1</f>
        <v>45867</v>
      </c>
      <c r="R7" s="31">
        <f t="shared" si="119"/>
        <v>45868</v>
      </c>
      <c r="S7" s="31">
        <f t="shared" si="119"/>
        <v>45869</v>
      </c>
      <c r="T7" s="31">
        <f t="shared" si="119"/>
        <v>45870</v>
      </c>
      <c r="U7" s="31">
        <f t="shared" si="119"/>
        <v>45871</v>
      </c>
      <c r="V7" s="31">
        <f t="shared" si="119"/>
        <v>45872</v>
      </c>
      <c r="W7" s="32">
        <f t="shared" si="119"/>
        <v>45873</v>
      </c>
      <c r="X7" s="32">
        <f t="shared" ref="X7:AB7" si="120">W7+1</f>
        <v>45874</v>
      </c>
      <c r="Y7" s="32">
        <f t="shared" si="120"/>
        <v>45875</v>
      </c>
      <c r="Z7" s="32">
        <f t="shared" si="120"/>
        <v>45876</v>
      </c>
      <c r="AA7" s="32">
        <f t="shared" si="120"/>
        <v>45877</v>
      </c>
      <c r="AB7" s="32">
        <f t="shared" si="120"/>
        <v>45878</v>
      </c>
      <c r="AC7" s="32">
        <f t="shared" ref="AC7" si="121">AB7+1</f>
        <v>45879</v>
      </c>
      <c r="AD7" s="29">
        <f t="shared" ref="AD7" si="122">AC7+1</f>
        <v>45880</v>
      </c>
      <c r="AE7" s="29">
        <f t="shared" ref="AE7" si="123">AD7+1</f>
        <v>45881</v>
      </c>
      <c r="AF7" s="29">
        <f t="shared" ref="AF7" si="124">AE7+1</f>
        <v>45882</v>
      </c>
      <c r="AG7" s="29">
        <f t="shared" ref="AG7" si="125">AF7+1</f>
        <v>45883</v>
      </c>
      <c r="AH7" s="29">
        <f t="shared" ref="AH7" si="126">AG7+1</f>
        <v>45884</v>
      </c>
      <c r="AI7" s="29">
        <f t="shared" ref="AI7" si="127">AH7+1</f>
        <v>45885</v>
      </c>
      <c r="AJ7" s="30">
        <f t="shared" ref="AJ7" si="128">AI7+1</f>
        <v>45886</v>
      </c>
      <c r="AK7" s="30">
        <f t="shared" ref="AK7" si="129">AJ7+1</f>
        <v>45887</v>
      </c>
      <c r="AL7" s="30">
        <f t="shared" ref="AL7" si="130">AK7+1</f>
        <v>45888</v>
      </c>
      <c r="AM7" s="30">
        <f t="shared" ref="AM7" si="131">AL7+1</f>
        <v>45889</v>
      </c>
      <c r="AN7" s="30">
        <f t="shared" ref="AN7" si="132">AM7+1</f>
        <v>45890</v>
      </c>
      <c r="AO7" s="30">
        <f t="shared" ref="AO7" si="133">AN7+1</f>
        <v>45891</v>
      </c>
      <c r="AP7" s="30">
        <f t="shared" ref="AP7" si="134">AO7+1</f>
        <v>45892</v>
      </c>
      <c r="AQ7" s="30">
        <f t="shared" ref="AQ7" si="135">AP7+1</f>
        <v>45893</v>
      </c>
      <c r="AR7" s="31">
        <f t="shared" ref="AR7" si="136">AQ7+1</f>
        <v>45894</v>
      </c>
      <c r="AS7" s="31">
        <f t="shared" ref="AS7" si="137">AR7+1</f>
        <v>45895</v>
      </c>
      <c r="AT7" s="31">
        <f t="shared" ref="AT7" si="138">AS7+1</f>
        <v>45896</v>
      </c>
      <c r="AU7" s="31">
        <f t="shared" ref="AU7" si="139">AT7+1</f>
        <v>45897</v>
      </c>
      <c r="AV7" s="31">
        <f t="shared" ref="AV7" si="140">AU7+1</f>
        <v>45898</v>
      </c>
      <c r="AW7" s="31">
        <f t="shared" ref="AW7" si="141">AV7+1</f>
        <v>45899</v>
      </c>
      <c r="AX7" s="31">
        <f t="shared" ref="AX7" si="142">AW7+1</f>
        <v>45900</v>
      </c>
      <c r="AY7" s="32">
        <f t="shared" ref="AY7" si="143">AX7+1</f>
        <v>45901</v>
      </c>
      <c r="AZ7" s="32">
        <f t="shared" ref="AZ7" si="144">AY7+1</f>
        <v>45902</v>
      </c>
      <c r="BA7" s="32">
        <f t="shared" ref="BA7" si="145">AZ7+1</f>
        <v>45903</v>
      </c>
      <c r="BB7" s="32">
        <f t="shared" ref="BB7" si="146">BA7+1</f>
        <v>45904</v>
      </c>
      <c r="BC7" s="32">
        <f t="shared" ref="BC7" si="147">BB7+1</f>
        <v>45905</v>
      </c>
      <c r="BD7" s="32">
        <f t="shared" ref="BD7" si="148">BC7+1</f>
        <v>45906</v>
      </c>
      <c r="BE7" s="32">
        <f t="shared" ref="BE7" si="149">BD7+1</f>
        <v>45907</v>
      </c>
      <c r="BF7" s="29">
        <f t="shared" ref="BF7" si="150">BE7+1</f>
        <v>45908</v>
      </c>
      <c r="BG7" s="29">
        <f t="shared" ref="BG7" si="151">BF7+1</f>
        <v>45909</v>
      </c>
      <c r="BH7" s="29">
        <f t="shared" ref="BH7" si="152">BG7+1</f>
        <v>45910</v>
      </c>
      <c r="BI7" s="29">
        <f t="shared" ref="BI7" si="153">BH7+1</f>
        <v>45911</v>
      </c>
      <c r="BJ7" s="29">
        <f t="shared" ref="BJ7" si="154">BI7+1</f>
        <v>45912</v>
      </c>
      <c r="BK7" s="29">
        <f t="shared" ref="BK7" si="155">BJ7+1</f>
        <v>45913</v>
      </c>
      <c r="BL7" s="30">
        <f t="shared" ref="BL7" si="156">BK7+1</f>
        <v>45914</v>
      </c>
      <c r="BM7" s="30">
        <f t="shared" ref="BM7" si="157">BL7+1</f>
        <v>45915</v>
      </c>
      <c r="BN7" s="30">
        <f t="shared" ref="BN7" si="158">BM7+1</f>
        <v>45916</v>
      </c>
      <c r="BO7" s="30">
        <f t="shared" ref="BO7" si="159">BN7+1</f>
        <v>45917</v>
      </c>
      <c r="BP7" s="30">
        <f t="shared" ref="BP7" si="160">BO7+1</f>
        <v>45918</v>
      </c>
      <c r="BQ7" s="30">
        <f t="shared" ref="BQ7" si="161">BP7+1</f>
        <v>45919</v>
      </c>
      <c r="BR7" s="30">
        <f t="shared" ref="BR7" si="162">BQ7+1</f>
        <v>45920</v>
      </c>
      <c r="BS7" s="30">
        <f t="shared" ref="BS7" si="163">BR7+1</f>
        <v>45921</v>
      </c>
      <c r="BT7" s="31">
        <f t="shared" ref="BT7" si="164">BS7+1</f>
        <v>45922</v>
      </c>
      <c r="BU7" s="31">
        <f t="shared" ref="BU7" si="165">BT7+1</f>
        <v>45923</v>
      </c>
      <c r="BV7" s="31">
        <f t="shared" ref="BV7" si="166">BU7+1</f>
        <v>45924</v>
      </c>
      <c r="BW7" s="31">
        <f t="shared" ref="BW7" si="167">BV7+1</f>
        <v>45925</v>
      </c>
      <c r="BX7" s="31">
        <f t="shared" ref="BX7" si="168">BW7+1</f>
        <v>45926</v>
      </c>
      <c r="BY7" s="31">
        <f t="shared" ref="BY7" si="169">BX7+1</f>
        <v>45927</v>
      </c>
      <c r="BZ7" s="31">
        <f t="shared" ref="BZ7" si="170">BY7+1</f>
        <v>45928</v>
      </c>
      <c r="CA7" s="32">
        <f t="shared" ref="CA7" si="171">BZ7+1</f>
        <v>45929</v>
      </c>
      <c r="CB7" s="32">
        <f t="shared" ref="CB7" si="172">CA7+1</f>
        <v>45930</v>
      </c>
      <c r="CC7" s="32">
        <f t="shared" ref="CC7" si="173">CB7+1</f>
        <v>45931</v>
      </c>
      <c r="CD7" s="32">
        <f t="shared" ref="CD7" si="174">CC7+1</f>
        <v>45932</v>
      </c>
      <c r="CE7" s="32">
        <f t="shared" ref="CE7" si="175">CD7+1</f>
        <v>45933</v>
      </c>
      <c r="CF7" s="32">
        <f t="shared" ref="CF7" si="176">CE7+1</f>
        <v>45934</v>
      </c>
      <c r="CG7" s="32">
        <f t="shared" ref="CG7" si="177">CF7+1</f>
        <v>45935</v>
      </c>
      <c r="CH7" s="29">
        <f t="shared" ref="CH7" si="178">CG7+1</f>
        <v>45936</v>
      </c>
      <c r="CI7" s="29">
        <f t="shared" ref="CI7" si="179">CH7+1</f>
        <v>45937</v>
      </c>
      <c r="CJ7" s="29">
        <f t="shared" ref="CJ7" si="180">CI7+1</f>
        <v>45938</v>
      </c>
      <c r="CK7" s="29">
        <f t="shared" ref="CK7" si="181">CJ7+1</f>
        <v>45939</v>
      </c>
      <c r="CL7" s="29">
        <f t="shared" ref="CL7" si="182">CK7+1</f>
        <v>45940</v>
      </c>
      <c r="CM7" s="29">
        <f t="shared" ref="CM7" si="183">CL7+1</f>
        <v>45941</v>
      </c>
      <c r="CN7" s="30">
        <f t="shared" ref="CN7" si="184">CM7+1</f>
        <v>45942</v>
      </c>
      <c r="CO7" s="30">
        <f t="shared" ref="CO7" si="185">CN7+1</f>
        <v>45943</v>
      </c>
      <c r="CP7" s="30">
        <f t="shared" ref="CP7" si="186">CO7+1</f>
        <v>45944</v>
      </c>
      <c r="CQ7" s="30">
        <f t="shared" ref="CQ7" si="187">CP7+1</f>
        <v>45945</v>
      </c>
      <c r="CR7" s="30">
        <f t="shared" ref="CR7" si="188">CQ7+1</f>
        <v>45946</v>
      </c>
      <c r="CS7" s="30">
        <f t="shared" ref="CS7" si="189">CR7+1</f>
        <v>45947</v>
      </c>
      <c r="CT7" s="30">
        <f t="shared" ref="CT7" si="190">CS7+1</f>
        <v>45948</v>
      </c>
      <c r="CU7" s="30">
        <f t="shared" ref="CU7" si="191">CT7+1</f>
        <v>45949</v>
      </c>
      <c r="CV7" s="31">
        <f t="shared" ref="CV7" si="192">CU7+1</f>
        <v>45950</v>
      </c>
      <c r="CW7" s="31">
        <f t="shared" ref="CW7" si="193">CV7+1</f>
        <v>45951</v>
      </c>
      <c r="CX7" s="31">
        <f t="shared" ref="CX7" si="194">CW7+1</f>
        <v>45952</v>
      </c>
      <c r="CY7" s="31">
        <f t="shared" ref="CY7" si="195">CX7+1</f>
        <v>45953</v>
      </c>
      <c r="CZ7" s="31">
        <f t="shared" ref="CZ7" si="196">CY7+1</f>
        <v>45954</v>
      </c>
      <c r="DA7" s="31">
        <f t="shared" ref="DA7" si="197">CZ7+1</f>
        <v>45955</v>
      </c>
      <c r="DB7" s="31">
        <f t="shared" ref="DB7" si="198">DA7+1</f>
        <v>45956</v>
      </c>
      <c r="DC7" s="32">
        <f t="shared" ref="DC7" si="199">DB7+1</f>
        <v>45957</v>
      </c>
      <c r="DD7" s="32">
        <f t="shared" ref="DD7" si="200">DC7+1</f>
        <v>45958</v>
      </c>
      <c r="DE7" s="32">
        <f t="shared" ref="DE7" si="201">DD7+1</f>
        <v>45959</v>
      </c>
      <c r="DF7" s="32">
        <f t="shared" ref="DF7" si="202">DE7+1</f>
        <v>45960</v>
      </c>
      <c r="DG7" s="32">
        <f t="shared" ref="DG7" si="203">DF7+1</f>
        <v>45961</v>
      </c>
      <c r="DH7" s="32">
        <f t="shared" ref="DH7" si="204">DG7+1</f>
        <v>45962</v>
      </c>
      <c r="DI7" s="32">
        <f t="shared" ref="DI7" si="205">DH7+1</f>
        <v>45963</v>
      </c>
      <c r="DJ7" s="29">
        <f t="shared" ref="DJ7" si="206">DI7+1</f>
        <v>45964</v>
      </c>
      <c r="DK7" s="29">
        <f t="shared" ref="DK7" si="207">DJ7+1</f>
        <v>45965</v>
      </c>
      <c r="DL7" s="29">
        <f t="shared" ref="DL7" si="208">DK7+1</f>
        <v>45966</v>
      </c>
      <c r="DM7" s="29">
        <f t="shared" ref="DM7" si="209">DL7+1</f>
        <v>45967</v>
      </c>
      <c r="DN7" s="29">
        <f t="shared" ref="DN7" si="210">DM7+1</f>
        <v>45968</v>
      </c>
      <c r="DO7" s="29">
        <f t="shared" ref="DO7" si="211">DN7+1</f>
        <v>45969</v>
      </c>
      <c r="DP7" s="30">
        <f t="shared" ref="DP7" si="212">DO7+1</f>
        <v>45970</v>
      </c>
      <c r="DQ7" s="30">
        <f t="shared" ref="DQ7" si="213">DP7+1</f>
        <v>45971</v>
      </c>
      <c r="DR7" s="30">
        <f t="shared" ref="DR7" si="214">DQ7+1</f>
        <v>45972</v>
      </c>
      <c r="DS7" s="30">
        <f t="shared" ref="DS7" si="215">DR7+1</f>
        <v>45973</v>
      </c>
      <c r="DT7" s="30">
        <f t="shared" ref="DT7" si="216">DS7+1</f>
        <v>45974</v>
      </c>
      <c r="DU7" s="30">
        <f t="shared" ref="DU7" si="217">DT7+1</f>
        <v>45975</v>
      </c>
      <c r="DV7" s="30">
        <f t="shared" ref="DV7" si="218">DU7+1</f>
        <v>45976</v>
      </c>
      <c r="DW7" s="30">
        <f t="shared" ref="DW7" si="219">DV7+1</f>
        <v>45977</v>
      </c>
      <c r="DX7" s="31">
        <f t="shared" ref="DX7" si="220">DW7+1</f>
        <v>45978</v>
      </c>
      <c r="DY7" s="31">
        <f t="shared" ref="DY7" si="221">DX7+1</f>
        <v>45979</v>
      </c>
      <c r="DZ7" s="31">
        <f t="shared" ref="DZ7" si="222">DY7+1</f>
        <v>45980</v>
      </c>
      <c r="EA7" s="31">
        <f t="shared" ref="EA7" si="223">DZ7+1</f>
        <v>45981</v>
      </c>
      <c r="EB7" s="31">
        <f t="shared" ref="EB7" si="224">EA7+1</f>
        <v>45982</v>
      </c>
      <c r="EC7" s="31">
        <f t="shared" ref="EC7" si="225">EB7+1</f>
        <v>45983</v>
      </c>
      <c r="ED7" s="31">
        <f t="shared" ref="ED7" si="226">EC7+1</f>
        <v>45984</v>
      </c>
      <c r="EE7" s="32">
        <f t="shared" ref="EE7" si="227">ED7+1</f>
        <v>45985</v>
      </c>
      <c r="EF7" s="32">
        <f t="shared" ref="EF7" si="228">EE7+1</f>
        <v>45986</v>
      </c>
      <c r="EG7" s="32">
        <f t="shared" ref="EG7" si="229">EF7+1</f>
        <v>45987</v>
      </c>
      <c r="EH7" s="32">
        <f t="shared" ref="EH7" si="230">EG7+1</f>
        <v>45988</v>
      </c>
      <c r="EI7" s="32">
        <f t="shared" ref="EI7" si="231">EH7+1</f>
        <v>45989</v>
      </c>
      <c r="EJ7" s="32">
        <f t="shared" ref="EJ7" si="232">EI7+1</f>
        <v>45990</v>
      </c>
      <c r="EK7" s="32">
        <f t="shared" ref="EK7" si="233">EJ7+1</f>
        <v>45991</v>
      </c>
      <c r="EL7" s="29">
        <f t="shared" ref="EL7" si="234">EK7+1</f>
        <v>45992</v>
      </c>
      <c r="EM7" s="29">
        <f t="shared" ref="EM7" si="235">EL7+1</f>
        <v>45993</v>
      </c>
      <c r="EN7" s="29">
        <f t="shared" ref="EN7" si="236">EM7+1</f>
        <v>45994</v>
      </c>
      <c r="EO7" s="29">
        <f t="shared" ref="EO7" si="237">EN7+1</f>
        <v>45995</v>
      </c>
      <c r="EP7" s="29">
        <f t="shared" ref="EP7" si="238">EO7+1</f>
        <v>45996</v>
      </c>
      <c r="EQ7" s="29">
        <f t="shared" ref="EQ7" si="239">EP7+1</f>
        <v>45997</v>
      </c>
      <c r="ER7" s="30">
        <f t="shared" ref="ER7" si="240">EQ7+1</f>
        <v>45998</v>
      </c>
      <c r="ES7" s="30">
        <f t="shared" ref="ES7" si="241">ER7+1</f>
        <v>45999</v>
      </c>
      <c r="ET7" s="30">
        <f t="shared" ref="ET7" si="242">ES7+1</f>
        <v>46000</v>
      </c>
      <c r="EU7" s="30">
        <f t="shared" ref="EU7" si="243">ET7+1</f>
        <v>46001</v>
      </c>
      <c r="EV7" s="30">
        <f t="shared" ref="EV7" si="244">EU7+1</f>
        <v>46002</v>
      </c>
      <c r="EW7" s="30">
        <f t="shared" ref="EW7" si="245">EV7+1</f>
        <v>46003</v>
      </c>
      <c r="EX7" s="30">
        <f t="shared" ref="EX7" si="246">EW7+1</f>
        <v>46004</v>
      </c>
      <c r="EY7" s="30">
        <f t="shared" ref="EY7" si="247">EX7+1</f>
        <v>46005</v>
      </c>
      <c r="EZ7" s="31">
        <f t="shared" ref="EZ7" si="248">EY7+1</f>
        <v>46006</v>
      </c>
      <c r="FA7" s="31">
        <f t="shared" ref="FA7" si="249">EZ7+1</f>
        <v>46007</v>
      </c>
      <c r="FB7" s="31">
        <f t="shared" ref="FB7" si="250">FA7+1</f>
        <v>46008</v>
      </c>
      <c r="FC7" s="31">
        <f t="shared" ref="FC7" si="251">FB7+1</f>
        <v>46009</v>
      </c>
      <c r="FD7" s="31">
        <f t="shared" ref="FD7" si="252">FC7+1</f>
        <v>46010</v>
      </c>
      <c r="FE7" s="31">
        <f t="shared" ref="FE7" si="253">FD7+1</f>
        <v>46011</v>
      </c>
      <c r="FF7" s="31">
        <f t="shared" ref="FF7" si="254">FE7+1</f>
        <v>46012</v>
      </c>
      <c r="FG7" s="50"/>
    </row>
    <row r="8" spans="1:164" ht="24.75" customHeight="1">
      <c r="A8" s="41" t="s">
        <v>28</v>
      </c>
      <c r="B8" s="34" t="s">
        <v>29</v>
      </c>
      <c r="C8" s="34"/>
      <c r="D8" s="34"/>
      <c r="E8" s="34"/>
      <c r="F8" s="34"/>
      <c r="G8" s="38"/>
      <c r="H8" s="39"/>
      <c r="I8" s="34" t="s">
        <v>29</v>
      </c>
      <c r="J8" s="34"/>
      <c r="K8" s="34"/>
      <c r="L8" s="34"/>
      <c r="M8" s="34"/>
      <c r="N8" s="39"/>
      <c r="O8" s="38"/>
      <c r="P8" s="34" t="s">
        <v>29</v>
      </c>
      <c r="Q8" s="34"/>
      <c r="R8" s="34"/>
      <c r="S8" s="34"/>
      <c r="T8" s="34"/>
      <c r="U8" s="22"/>
      <c r="V8" s="21"/>
      <c r="W8" s="22"/>
      <c r="X8" s="21"/>
      <c r="Y8" s="22"/>
      <c r="Z8" s="21"/>
      <c r="AA8" s="22"/>
      <c r="AB8" s="21"/>
      <c r="AC8" s="22"/>
      <c r="AD8" s="24"/>
      <c r="AE8" s="23"/>
      <c r="AF8" s="24"/>
      <c r="AG8" s="23"/>
      <c r="AH8" s="24"/>
      <c r="AI8" s="23"/>
      <c r="AJ8" s="24"/>
      <c r="AK8" s="23"/>
      <c r="AL8" s="24"/>
      <c r="AM8" s="23"/>
      <c r="AN8" s="24"/>
      <c r="AO8" s="23"/>
      <c r="AP8" s="24"/>
      <c r="AQ8" s="23"/>
      <c r="AR8" s="24"/>
      <c r="AS8" s="23"/>
      <c r="AT8" s="24"/>
      <c r="AU8" s="23"/>
      <c r="AV8" s="24"/>
      <c r="AW8" s="23"/>
      <c r="AX8" s="24"/>
      <c r="AY8" s="23"/>
      <c r="AZ8" s="24"/>
      <c r="BA8" s="23"/>
      <c r="BB8" s="24"/>
      <c r="BC8" s="23"/>
      <c r="BD8" s="24"/>
      <c r="BE8" s="23"/>
      <c r="BF8" s="24"/>
      <c r="BG8" s="23"/>
      <c r="BH8" s="24"/>
      <c r="BI8" s="23"/>
      <c r="BJ8" s="24"/>
      <c r="BK8" s="23"/>
      <c r="BL8" s="24"/>
      <c r="BM8" s="23"/>
      <c r="BN8" s="24"/>
      <c r="BO8" s="23"/>
      <c r="BP8" s="24"/>
      <c r="BQ8" s="23"/>
      <c r="BR8" s="24"/>
      <c r="BS8" s="23"/>
      <c r="BT8" s="24"/>
      <c r="BU8" s="23"/>
      <c r="BV8" s="24"/>
      <c r="BW8" s="23"/>
      <c r="BX8" s="24"/>
      <c r="BY8" s="23"/>
      <c r="BZ8" s="24"/>
      <c r="CA8" s="23"/>
      <c r="CB8" s="24"/>
      <c r="CC8" s="23"/>
      <c r="CD8" s="24"/>
      <c r="CE8" s="23"/>
      <c r="CF8" s="24"/>
      <c r="CG8" s="23"/>
      <c r="CH8" s="24"/>
      <c r="CI8" s="23"/>
      <c r="CJ8" s="24"/>
      <c r="CK8" s="23"/>
      <c r="CL8" s="24"/>
      <c r="CM8" s="23"/>
      <c r="CN8" s="24"/>
      <c r="CO8" s="23"/>
      <c r="CP8" s="24"/>
      <c r="CQ8" s="23"/>
      <c r="CR8" s="24"/>
      <c r="CS8" s="23"/>
      <c r="CT8" s="24"/>
      <c r="CU8" s="23"/>
      <c r="CV8" s="24"/>
      <c r="CW8" s="23"/>
      <c r="CX8" s="24"/>
      <c r="CY8" s="23"/>
      <c r="CZ8" s="24"/>
      <c r="DA8" s="23"/>
      <c r="DB8" s="24"/>
      <c r="DC8" s="23"/>
      <c r="DD8" s="24"/>
      <c r="DE8" s="23"/>
      <c r="DF8" s="24"/>
      <c r="DG8" s="23"/>
      <c r="DH8" s="24"/>
      <c r="DI8" s="23"/>
      <c r="DJ8" s="24"/>
      <c r="DK8" s="23"/>
      <c r="DL8" s="24"/>
      <c r="DM8" s="23"/>
      <c r="DN8" s="24"/>
      <c r="DO8" s="23"/>
      <c r="DP8" s="24"/>
      <c r="DQ8" s="23"/>
      <c r="DR8" s="24"/>
      <c r="DS8" s="23"/>
      <c r="DT8" s="24"/>
      <c r="DU8" s="23"/>
      <c r="DV8" s="24"/>
      <c r="DW8" s="23"/>
      <c r="DX8" s="24"/>
      <c r="DY8" s="23"/>
      <c r="DZ8" s="24"/>
      <c r="EA8" s="23"/>
      <c r="EB8" s="24"/>
      <c r="EC8" s="23"/>
      <c r="ED8" s="24"/>
      <c r="EE8" s="23"/>
      <c r="EF8" s="24"/>
      <c r="EG8" s="23"/>
      <c r="EH8" s="24"/>
      <c r="EI8" s="23"/>
      <c r="EJ8" s="24"/>
      <c r="EK8" s="23"/>
      <c r="EL8" s="24"/>
      <c r="EM8" s="23"/>
      <c r="EN8" s="24"/>
      <c r="EO8" s="23"/>
      <c r="EP8" s="24"/>
      <c r="EQ8" s="23"/>
      <c r="ER8" s="24"/>
      <c r="ES8" s="23"/>
      <c r="ET8" s="24"/>
      <c r="EU8" s="23"/>
      <c r="EV8" s="24"/>
      <c r="EW8" s="23"/>
      <c r="EX8" s="24"/>
      <c r="EY8" s="23"/>
      <c r="EZ8" s="24"/>
      <c r="FA8" s="23"/>
      <c r="FB8" s="24"/>
      <c r="FC8" s="23"/>
      <c r="FD8" s="24"/>
      <c r="FE8" s="23"/>
      <c r="FF8" s="24"/>
      <c r="FG8" s="46" t="s">
        <v>30</v>
      </c>
    </row>
    <row r="9" spans="1:164" ht="24.75" customHeight="1">
      <c r="A9" s="42" t="s">
        <v>28</v>
      </c>
      <c r="B9" s="24"/>
      <c r="C9" s="23"/>
      <c r="D9" s="24"/>
      <c r="E9" s="23"/>
      <c r="F9" s="28"/>
      <c r="G9" s="27"/>
      <c r="H9" s="24"/>
      <c r="I9" s="23"/>
      <c r="J9" s="24"/>
      <c r="K9" s="23"/>
      <c r="L9" s="24"/>
      <c r="M9" s="23"/>
      <c r="N9" s="24"/>
      <c r="O9" s="23"/>
      <c r="P9" s="24"/>
      <c r="Q9" s="23"/>
      <c r="R9" s="37" t="s">
        <v>31</v>
      </c>
      <c r="S9" s="33"/>
      <c r="T9" s="33"/>
      <c r="U9" s="23"/>
      <c r="V9" s="24"/>
      <c r="W9" s="23"/>
      <c r="X9" s="24"/>
      <c r="Z9" s="24"/>
      <c r="AA9" s="23"/>
      <c r="AB9" s="24"/>
      <c r="AC9" s="23"/>
      <c r="AD9" s="24"/>
      <c r="AE9" s="23"/>
      <c r="AF9" s="24"/>
      <c r="AG9" s="23"/>
      <c r="AH9" s="24"/>
      <c r="AI9" s="23"/>
      <c r="AJ9" s="24"/>
      <c r="AK9" s="23"/>
      <c r="AL9" s="24"/>
      <c r="AM9" s="23"/>
      <c r="AN9" s="24"/>
      <c r="AO9" s="23"/>
      <c r="AP9" s="24"/>
      <c r="AQ9" s="23"/>
      <c r="AR9" s="24"/>
      <c r="AS9" s="23"/>
      <c r="AT9" s="24"/>
      <c r="AU9" s="23"/>
      <c r="AV9" s="24"/>
      <c r="AW9" s="23"/>
      <c r="AX9" s="24"/>
      <c r="AY9" s="23"/>
      <c r="AZ9" s="24"/>
      <c r="BA9" s="23"/>
      <c r="BB9" s="24"/>
      <c r="BC9" s="23"/>
      <c r="BD9" s="24"/>
      <c r="BE9" s="23"/>
      <c r="BF9" s="24"/>
      <c r="BG9" s="23"/>
      <c r="BH9" s="24"/>
      <c r="BI9" s="23"/>
      <c r="BJ9" s="24"/>
      <c r="BK9" s="23"/>
      <c r="BL9" s="24"/>
      <c r="BM9" s="23"/>
      <c r="BN9" s="24"/>
      <c r="BO9" s="23"/>
      <c r="BP9" s="24"/>
      <c r="BQ9" s="23"/>
      <c r="BR9" s="24"/>
      <c r="BS9" s="23"/>
      <c r="BT9" s="24"/>
      <c r="BU9" s="23"/>
      <c r="BV9" s="24"/>
      <c r="BW9" s="23"/>
      <c r="BX9" s="24"/>
      <c r="BY9" s="23"/>
      <c r="BZ9" s="24"/>
      <c r="CA9" s="23"/>
      <c r="CB9" s="24"/>
      <c r="CC9" s="23"/>
      <c r="CD9" s="24"/>
      <c r="CE9" s="23"/>
      <c r="CF9" s="24"/>
      <c r="CG9" s="23"/>
      <c r="CH9" s="24"/>
      <c r="CI9" s="23"/>
      <c r="CJ9" s="24"/>
      <c r="CK9" s="23"/>
      <c r="CL9" s="24"/>
      <c r="CM9" s="23"/>
      <c r="CN9" s="24"/>
      <c r="CO9" s="23"/>
      <c r="CP9" s="24"/>
      <c r="CQ9" s="23"/>
      <c r="CR9" s="24"/>
      <c r="CS9" s="23"/>
      <c r="CT9" s="24"/>
      <c r="CU9" s="23"/>
      <c r="CV9" s="24"/>
      <c r="CW9" s="23"/>
      <c r="CX9" s="24"/>
      <c r="CY9" s="23"/>
      <c r="CZ9" s="24"/>
      <c r="DA9" s="23"/>
      <c r="DB9" s="24"/>
      <c r="DC9" s="23"/>
      <c r="DD9" s="24"/>
      <c r="DE9" s="23"/>
      <c r="DF9" s="24"/>
      <c r="DG9" s="23"/>
      <c r="DH9" s="24"/>
      <c r="DI9" s="23"/>
      <c r="DJ9" s="24"/>
      <c r="DK9" s="23"/>
      <c r="DL9" s="24"/>
      <c r="DM9" s="23"/>
      <c r="DN9" s="24"/>
      <c r="DO9" s="23"/>
      <c r="DP9" s="24"/>
      <c r="DQ9" s="23"/>
      <c r="DR9" s="24"/>
      <c r="DS9" s="23"/>
      <c r="DT9" s="24"/>
      <c r="DU9" s="23"/>
      <c r="DV9" s="24"/>
      <c r="DW9" s="23"/>
      <c r="DX9" s="24"/>
      <c r="DY9" s="23"/>
      <c r="DZ9" s="24"/>
      <c r="EA9" s="23"/>
      <c r="EB9" s="24"/>
      <c r="EC9" s="23"/>
      <c r="ED9" s="24"/>
      <c r="EE9" s="23"/>
      <c r="EF9" s="24"/>
      <c r="EG9" s="23"/>
      <c r="EH9" s="24"/>
      <c r="EI9" s="23"/>
      <c r="EJ9" s="24"/>
      <c r="EK9" s="23"/>
      <c r="EL9" s="24"/>
      <c r="EM9" s="23"/>
      <c r="EN9" s="24"/>
      <c r="EO9" s="23"/>
      <c r="EP9" s="24"/>
      <c r="EQ9" s="23"/>
      <c r="ER9" s="24"/>
      <c r="ES9" s="23"/>
      <c r="ET9" s="24"/>
      <c r="EU9" s="23"/>
      <c r="EV9" s="24"/>
      <c r="EW9" s="23"/>
      <c r="EX9" s="24"/>
      <c r="EY9" s="23"/>
      <c r="EZ9" s="24"/>
      <c r="FA9" s="23"/>
      <c r="FB9" s="24"/>
      <c r="FC9" s="23"/>
      <c r="FD9" s="24"/>
      <c r="FE9" s="23"/>
      <c r="FF9" s="24"/>
      <c r="FG9" s="47" t="s">
        <v>30</v>
      </c>
    </row>
    <row r="10" spans="1:164" ht="24.75" customHeight="1">
      <c r="A10" s="43" t="s">
        <v>32</v>
      </c>
      <c r="B10" s="24"/>
      <c r="C10" s="23"/>
      <c r="D10" s="28"/>
      <c r="E10" s="23"/>
      <c r="F10" s="24"/>
      <c r="G10" s="23"/>
      <c r="H10" s="24"/>
      <c r="I10" s="23"/>
      <c r="J10" s="24"/>
      <c r="K10" s="27"/>
      <c r="L10" s="24"/>
      <c r="M10" s="23"/>
      <c r="N10" s="24"/>
      <c r="O10" s="23"/>
      <c r="P10" s="24"/>
      <c r="Q10" s="23"/>
      <c r="R10" s="24"/>
      <c r="S10" s="23"/>
      <c r="T10" s="24"/>
      <c r="U10" s="23"/>
      <c r="V10" s="24"/>
      <c r="W10" s="35" t="s">
        <v>33</v>
      </c>
      <c r="X10" s="35"/>
      <c r="Y10" s="35"/>
      <c r="Z10" s="35"/>
      <c r="AA10" s="35"/>
      <c r="AB10" s="24"/>
      <c r="AC10" s="23"/>
      <c r="AD10" s="35" t="s">
        <v>34</v>
      </c>
      <c r="AE10" s="35"/>
      <c r="AF10" s="35"/>
      <c r="AG10" s="35"/>
      <c r="AH10" s="35"/>
      <c r="AI10" s="23"/>
      <c r="AJ10" s="24"/>
      <c r="AK10" s="35" t="s">
        <v>34</v>
      </c>
      <c r="AL10" s="35"/>
      <c r="AM10" s="35"/>
      <c r="AN10" s="35"/>
      <c r="AO10" s="35"/>
      <c r="AP10" s="24"/>
      <c r="AQ10" s="23"/>
      <c r="AR10" s="24"/>
      <c r="AS10" s="23"/>
      <c r="AT10" s="24"/>
      <c r="AU10" s="23"/>
      <c r="AV10" s="24"/>
      <c r="AW10" s="23"/>
      <c r="AX10" s="24"/>
      <c r="AY10" s="35" t="s">
        <v>34</v>
      </c>
      <c r="AZ10" s="35"/>
      <c r="BA10" s="35"/>
      <c r="BB10" s="35"/>
      <c r="BC10" s="35"/>
      <c r="BD10" s="24"/>
      <c r="BE10" s="23"/>
      <c r="BF10" s="24"/>
      <c r="BG10" s="23"/>
      <c r="BH10" s="24"/>
      <c r="BI10" s="23"/>
      <c r="BJ10" s="24"/>
      <c r="BK10" s="23"/>
      <c r="BL10" s="24"/>
      <c r="BM10" s="23"/>
      <c r="BN10" s="24"/>
      <c r="BO10" s="23"/>
      <c r="BP10" s="24"/>
      <c r="BQ10" s="23"/>
      <c r="BR10" s="24"/>
      <c r="BS10" s="23"/>
      <c r="BT10" s="24"/>
      <c r="BU10" s="23"/>
      <c r="BV10" s="24"/>
      <c r="BW10" s="23"/>
      <c r="BX10" s="24"/>
      <c r="BY10" s="23"/>
      <c r="BZ10" s="24"/>
      <c r="CA10" s="23"/>
      <c r="CB10" s="24"/>
      <c r="CC10" s="23"/>
      <c r="CD10" s="24"/>
      <c r="CE10" s="23"/>
      <c r="CF10" s="24"/>
      <c r="CG10" s="23"/>
      <c r="CH10" s="24"/>
      <c r="CI10" s="23"/>
      <c r="CJ10" s="24"/>
      <c r="CK10" s="23"/>
      <c r="CL10" s="24"/>
      <c r="CM10" s="23"/>
      <c r="CN10" s="24"/>
      <c r="CO10" s="23"/>
      <c r="CP10" s="24"/>
      <c r="CQ10" s="23"/>
      <c r="CR10" s="24"/>
      <c r="CS10" s="23"/>
      <c r="CT10" s="24"/>
      <c r="CU10" s="23"/>
      <c r="CV10" s="24"/>
      <c r="CW10" s="23"/>
      <c r="CX10" s="24"/>
      <c r="CY10" s="23"/>
      <c r="CZ10" s="24"/>
      <c r="DA10" s="23"/>
      <c r="DB10" s="24"/>
      <c r="DC10" s="23"/>
      <c r="DD10" s="24"/>
      <c r="DE10" s="23"/>
      <c r="DF10" s="24"/>
      <c r="DG10" s="23"/>
      <c r="DH10" s="24"/>
      <c r="DI10" s="23"/>
      <c r="DJ10" s="24"/>
      <c r="DK10" s="23"/>
      <c r="DL10" s="24"/>
      <c r="DM10" s="23"/>
      <c r="DN10" s="24"/>
      <c r="DO10" s="23"/>
      <c r="DP10" s="24"/>
      <c r="DQ10" s="23"/>
      <c r="DR10" s="24"/>
      <c r="DS10" s="23"/>
      <c r="DT10" s="24"/>
      <c r="DU10" s="23"/>
      <c r="DV10" s="24"/>
      <c r="DW10" s="23"/>
      <c r="DX10" s="24"/>
      <c r="DY10" s="23"/>
      <c r="DZ10" s="24"/>
      <c r="EA10" s="23"/>
      <c r="EB10" s="24"/>
      <c r="EC10" s="23"/>
      <c r="ED10" s="24"/>
      <c r="EE10" s="23"/>
      <c r="EF10" s="24"/>
      <c r="EG10" s="23"/>
      <c r="EH10" s="24"/>
      <c r="EI10" s="23"/>
      <c r="EJ10" s="24"/>
      <c r="EK10" s="23"/>
      <c r="EL10" s="24"/>
      <c r="EM10" s="23"/>
      <c r="EN10" s="24"/>
      <c r="EO10" s="23"/>
      <c r="EP10" s="24"/>
      <c r="EQ10" s="23"/>
      <c r="ER10" s="24"/>
      <c r="ES10" s="23"/>
      <c r="ET10" s="24"/>
      <c r="EU10" s="23"/>
      <c r="EV10" s="24"/>
      <c r="EW10" s="23"/>
      <c r="EX10" s="24"/>
      <c r="EY10" s="23"/>
      <c r="EZ10" s="24"/>
      <c r="FA10" s="23"/>
      <c r="FB10" s="24"/>
      <c r="FC10" s="23"/>
      <c r="FD10" s="24"/>
      <c r="FE10" s="23"/>
      <c r="FF10" s="24"/>
      <c r="FG10" s="45" t="s">
        <v>35</v>
      </c>
    </row>
    <row r="11" spans="1:164" ht="24.75" customHeight="1">
      <c r="A11" s="44" t="s">
        <v>36</v>
      </c>
      <c r="B11" s="24"/>
      <c r="C11" s="23"/>
      <c r="D11" s="24"/>
      <c r="E11" s="23"/>
      <c r="F11" s="24"/>
      <c r="G11" s="23"/>
      <c r="H11" s="24"/>
      <c r="I11" s="23"/>
      <c r="J11" s="24"/>
      <c r="K11" s="23"/>
      <c r="L11" s="24"/>
      <c r="M11" s="23"/>
      <c r="N11" s="24"/>
      <c r="O11" s="23"/>
      <c r="P11" s="24"/>
      <c r="Q11" s="23"/>
      <c r="R11" s="24"/>
      <c r="S11" s="23"/>
      <c r="T11" s="24"/>
      <c r="U11" s="23"/>
      <c r="V11" s="24"/>
      <c r="W11" s="35" t="s">
        <v>37</v>
      </c>
      <c r="X11" s="35"/>
      <c r="Y11" s="35"/>
      <c r="Z11" s="35"/>
      <c r="AA11" s="35"/>
      <c r="AB11" s="24"/>
      <c r="AC11" s="23"/>
      <c r="AD11" s="24"/>
      <c r="AE11" s="23"/>
      <c r="AF11" s="24"/>
      <c r="AG11" s="23"/>
      <c r="AH11" s="24"/>
      <c r="AI11" s="23"/>
      <c r="AJ11" s="24"/>
      <c r="AK11" s="23"/>
      <c r="AL11" s="24"/>
      <c r="AM11" s="23"/>
      <c r="AN11" s="24"/>
      <c r="AO11" s="23"/>
      <c r="AP11" s="24"/>
      <c r="AQ11" s="23"/>
      <c r="AR11" s="59" t="s">
        <v>38</v>
      </c>
      <c r="AS11" s="58"/>
      <c r="AT11" s="40"/>
      <c r="AU11" s="40"/>
      <c r="AV11" s="40"/>
      <c r="AW11" s="40"/>
      <c r="AX11" s="40"/>
      <c r="AY11" s="23"/>
      <c r="AZ11" s="24"/>
      <c r="BA11" s="23"/>
      <c r="BB11" s="24"/>
      <c r="BC11" s="23"/>
      <c r="BD11" s="24"/>
      <c r="BE11" s="23"/>
      <c r="BF11" s="24"/>
      <c r="BG11" s="23"/>
      <c r="BH11" s="24"/>
      <c r="BI11" s="23"/>
      <c r="BJ11" s="24"/>
      <c r="BK11" s="23"/>
      <c r="BL11" s="24"/>
      <c r="BM11" s="23"/>
      <c r="BN11" s="24"/>
      <c r="BO11" s="23"/>
      <c r="BP11" s="24"/>
      <c r="BQ11" s="23"/>
      <c r="BR11" s="24"/>
      <c r="BS11" s="23"/>
      <c r="BT11" s="24"/>
      <c r="BU11" s="23"/>
      <c r="BV11" s="24"/>
      <c r="BW11" s="23"/>
      <c r="BX11" s="24"/>
      <c r="BY11" s="23"/>
      <c r="BZ11" s="24"/>
      <c r="CA11" s="23"/>
      <c r="CB11" s="24"/>
      <c r="CC11" s="23"/>
      <c r="CD11" s="24"/>
      <c r="CE11" s="23"/>
      <c r="CF11" s="24"/>
      <c r="CG11" s="23"/>
      <c r="CH11" s="24"/>
      <c r="CI11" s="23"/>
      <c r="CJ11" s="24"/>
      <c r="CK11" s="23"/>
      <c r="CL11" s="24"/>
      <c r="CM11" s="23"/>
      <c r="CN11" s="24"/>
      <c r="CO11" s="23"/>
      <c r="CP11" s="24"/>
      <c r="CQ11" s="23"/>
      <c r="CR11" s="24"/>
      <c r="CS11" s="23"/>
      <c r="CT11" s="24"/>
      <c r="CU11" s="23"/>
      <c r="CV11" s="24"/>
      <c r="CW11" s="23"/>
      <c r="CX11" s="24"/>
      <c r="CY11" s="23"/>
      <c r="CZ11" s="24"/>
      <c r="DA11" s="23"/>
      <c r="DB11" s="24"/>
      <c r="DC11" s="23"/>
      <c r="DD11" s="24"/>
      <c r="DE11" s="23"/>
      <c r="DF11" s="24"/>
      <c r="DG11" s="23"/>
      <c r="DH11" s="24"/>
      <c r="DI11" s="23"/>
      <c r="DJ11" s="24"/>
      <c r="DK11" s="23"/>
      <c r="DL11" s="24"/>
      <c r="DM11" s="23"/>
      <c r="DN11" s="24"/>
      <c r="DO11" s="23"/>
      <c r="DP11" s="24"/>
      <c r="DQ11" s="23"/>
      <c r="DR11" s="24"/>
      <c r="DS11" s="23"/>
      <c r="DT11" s="24"/>
      <c r="DU11" s="23"/>
      <c r="DV11" s="24"/>
      <c r="DW11" s="23"/>
      <c r="DX11" s="24"/>
      <c r="DY11" s="23"/>
      <c r="DZ11" s="24"/>
      <c r="EA11" s="23"/>
      <c r="EB11" s="24"/>
      <c r="EC11" s="23"/>
      <c r="ED11" s="24"/>
      <c r="EE11" s="23"/>
      <c r="EF11" s="24"/>
      <c r="EG11" s="23"/>
      <c r="EH11" s="24"/>
      <c r="EI11" s="23"/>
      <c r="EJ11" s="24"/>
      <c r="EK11" s="23"/>
      <c r="EL11" s="24"/>
      <c r="EM11" s="23"/>
      <c r="EN11" s="24"/>
      <c r="EO11" s="23"/>
      <c r="EP11" s="24"/>
      <c r="EQ11" s="23"/>
      <c r="ER11" s="24"/>
      <c r="ES11" s="23"/>
      <c r="ET11" s="24"/>
      <c r="EU11" s="23"/>
      <c r="EV11" s="24"/>
      <c r="EW11" s="23"/>
      <c r="EX11" s="24"/>
      <c r="EY11" s="23"/>
      <c r="EZ11" s="24"/>
      <c r="FA11" s="23"/>
      <c r="FB11" s="24"/>
      <c r="FC11" s="23"/>
      <c r="FD11" s="24"/>
      <c r="FE11" s="23"/>
      <c r="FF11" s="24"/>
      <c r="FG11" s="48" t="s">
        <v>30</v>
      </c>
    </row>
    <row r="12" spans="1:164" ht="24.75" customHeight="1">
      <c r="A12" s="42" t="s">
        <v>32</v>
      </c>
      <c r="B12" s="24"/>
      <c r="C12" s="23"/>
      <c r="D12" s="24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  <c r="S12" s="23"/>
      <c r="T12" s="24"/>
      <c r="U12" s="23"/>
      <c r="V12" s="24"/>
      <c r="W12" s="23"/>
      <c r="X12" s="24"/>
      <c r="Y12" s="23"/>
      <c r="Z12" s="24"/>
      <c r="AA12" s="23"/>
      <c r="AB12" s="24"/>
      <c r="AC12" s="23"/>
      <c r="AD12" s="24"/>
      <c r="AE12" s="23"/>
      <c r="AF12" s="24"/>
      <c r="AG12" s="23"/>
      <c r="AH12" s="24"/>
      <c r="AI12" s="23"/>
      <c r="AJ12" s="24"/>
      <c r="AK12" s="23"/>
      <c r="AL12" s="24"/>
      <c r="AM12" s="23"/>
      <c r="AN12" s="24"/>
      <c r="AO12" s="23"/>
      <c r="AP12" s="24"/>
      <c r="AQ12" s="23"/>
      <c r="AR12" s="24"/>
      <c r="AS12" s="23"/>
      <c r="AT12" s="24"/>
      <c r="AU12" s="23"/>
      <c r="AV12" s="24"/>
      <c r="AW12" s="23"/>
      <c r="AX12" s="24"/>
      <c r="AY12" s="23"/>
      <c r="AZ12" s="24"/>
      <c r="BA12" s="23"/>
      <c r="BB12" s="24"/>
      <c r="BC12" s="23"/>
      <c r="BD12" s="24"/>
      <c r="BE12" s="23"/>
      <c r="BF12" s="33" t="s">
        <v>39</v>
      </c>
      <c r="BG12" s="33"/>
      <c r="BH12" s="33"/>
      <c r="BI12" s="33"/>
      <c r="BJ12" s="33"/>
      <c r="BK12" s="23"/>
      <c r="BL12" s="24"/>
      <c r="BM12" s="23"/>
      <c r="BN12" s="24"/>
      <c r="BO12" s="23"/>
      <c r="BP12" s="24"/>
      <c r="BQ12" s="23"/>
      <c r="BR12" s="24"/>
      <c r="BS12" s="23"/>
      <c r="BT12" s="24"/>
      <c r="BU12" s="23"/>
      <c r="BV12" s="24"/>
      <c r="BW12" s="23"/>
      <c r="BX12" s="24"/>
      <c r="BY12" s="23"/>
      <c r="BZ12" s="24"/>
      <c r="CA12" s="23"/>
      <c r="CB12" s="24"/>
      <c r="CC12" s="23"/>
      <c r="CD12" s="24"/>
      <c r="CE12" s="23"/>
      <c r="CF12" s="24"/>
      <c r="CG12" s="23"/>
      <c r="CH12" s="24"/>
      <c r="CI12" s="23"/>
      <c r="CJ12" s="24"/>
      <c r="CK12" s="23"/>
      <c r="CL12" s="24"/>
      <c r="CM12" s="23"/>
      <c r="CN12" s="24"/>
      <c r="CO12" s="23"/>
      <c r="CP12" s="24"/>
      <c r="CQ12" s="23"/>
      <c r="CR12" s="24"/>
      <c r="CS12" s="23"/>
      <c r="CT12" s="24"/>
      <c r="CU12" s="23"/>
      <c r="CV12" s="24"/>
      <c r="CW12" s="23"/>
      <c r="CX12" s="24"/>
      <c r="CY12" s="23"/>
      <c r="CZ12" s="24"/>
      <c r="DA12" s="23"/>
      <c r="DB12" s="24"/>
      <c r="DC12" s="23"/>
      <c r="DD12" s="24"/>
      <c r="DE12" s="23"/>
      <c r="DF12" s="24"/>
      <c r="DG12" s="23"/>
      <c r="DH12" s="24"/>
      <c r="DI12" s="23"/>
      <c r="DJ12" s="24"/>
      <c r="DK12" s="23"/>
      <c r="DL12" s="24"/>
      <c r="DM12" s="23"/>
      <c r="DN12" s="24"/>
      <c r="DO12" s="23"/>
      <c r="DP12" s="24"/>
      <c r="DQ12" s="23"/>
      <c r="DR12" s="24"/>
      <c r="DS12" s="23"/>
      <c r="DT12" s="24"/>
      <c r="DU12" s="23"/>
      <c r="DV12" s="24"/>
      <c r="DW12" s="23"/>
      <c r="DX12" s="24"/>
      <c r="DY12" s="23"/>
      <c r="DZ12" s="24"/>
      <c r="EA12" s="23"/>
      <c r="EB12" s="24"/>
      <c r="EC12" s="23"/>
      <c r="ED12" s="24"/>
      <c r="EE12" s="23"/>
      <c r="EF12" s="24"/>
      <c r="EG12" s="23"/>
      <c r="EH12" s="24"/>
      <c r="EI12" s="23"/>
      <c r="EJ12" s="24"/>
      <c r="EK12" s="23"/>
      <c r="EL12" s="24"/>
      <c r="EM12" s="23"/>
      <c r="EN12" s="24"/>
      <c r="EO12" s="23"/>
      <c r="EP12" s="24"/>
      <c r="EQ12" s="23"/>
      <c r="ER12" s="24"/>
      <c r="ES12" s="23"/>
      <c r="ET12" s="24"/>
      <c r="EU12" s="23"/>
      <c r="EV12" s="24"/>
      <c r="EW12" s="23"/>
      <c r="EX12" s="24"/>
      <c r="EY12" s="23"/>
      <c r="EZ12" s="24"/>
      <c r="FA12" s="23"/>
      <c r="FB12" s="24"/>
      <c r="FC12" s="23"/>
      <c r="FD12" s="24"/>
      <c r="FE12" s="23"/>
      <c r="FF12" s="24"/>
      <c r="FG12" s="45" t="s">
        <v>35</v>
      </c>
    </row>
    <row r="13" spans="1:164" ht="24.75" customHeight="1">
      <c r="A13" s="61" t="s">
        <v>40</v>
      </c>
      <c r="B13" s="24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23"/>
      <c r="R13" s="24"/>
      <c r="S13" s="23"/>
      <c r="T13" s="24"/>
      <c r="U13" s="23"/>
      <c r="V13" s="24"/>
      <c r="W13" s="23"/>
      <c r="X13" s="24"/>
      <c r="Y13" s="23"/>
      <c r="Z13" s="24"/>
      <c r="AB13" s="24"/>
      <c r="AC13" s="23"/>
      <c r="AD13" s="24"/>
      <c r="AE13" s="23"/>
      <c r="AF13" s="24"/>
      <c r="AG13" s="23"/>
      <c r="AH13" s="24"/>
      <c r="AI13" s="23"/>
      <c r="AJ13" s="24"/>
      <c r="AK13" s="23"/>
      <c r="AL13" s="24"/>
      <c r="AM13" s="23"/>
      <c r="AN13" s="24"/>
      <c r="AO13" s="23"/>
      <c r="AP13" s="24"/>
      <c r="AQ13" s="23"/>
      <c r="AR13" s="24"/>
      <c r="AS13" s="23"/>
      <c r="AT13" s="24"/>
      <c r="AU13" s="23"/>
      <c r="AV13" s="24"/>
      <c r="AW13" s="23"/>
      <c r="AX13" s="24"/>
      <c r="AY13" s="23"/>
      <c r="AZ13" s="24"/>
      <c r="BA13" s="23"/>
      <c r="BB13" s="24"/>
      <c r="BC13" s="23"/>
      <c r="BD13" s="24"/>
      <c r="BE13" s="23"/>
      <c r="BF13" s="24"/>
      <c r="BG13" s="23"/>
      <c r="BH13" s="24"/>
      <c r="BI13" s="23"/>
      <c r="BJ13" s="24"/>
      <c r="BK13" s="23"/>
      <c r="BL13" s="24"/>
      <c r="BM13" s="52" t="s">
        <v>40</v>
      </c>
      <c r="BN13" s="52"/>
      <c r="BO13" s="52"/>
      <c r="BP13" s="52"/>
      <c r="BQ13" s="52"/>
      <c r="BR13" s="24"/>
      <c r="BS13" s="23"/>
      <c r="BT13" s="24"/>
      <c r="BU13" s="23"/>
      <c r="BV13" s="24"/>
      <c r="BW13" s="23"/>
      <c r="BX13" s="24"/>
      <c r="BY13" s="23"/>
      <c r="BZ13" s="24"/>
      <c r="CA13" s="23"/>
      <c r="CB13" s="24"/>
      <c r="CC13" s="23"/>
      <c r="CD13" s="24"/>
      <c r="CE13" s="23"/>
      <c r="CF13" s="24"/>
      <c r="CG13" s="23"/>
      <c r="CH13" s="24"/>
      <c r="CI13" s="23"/>
      <c r="CJ13" s="24"/>
      <c r="CK13" s="23"/>
      <c r="CL13" s="24"/>
      <c r="CM13" s="23"/>
      <c r="CN13" s="24"/>
      <c r="CO13" s="23"/>
      <c r="CP13" s="24"/>
      <c r="CQ13" s="23"/>
      <c r="CR13" s="24"/>
      <c r="CS13" s="23"/>
      <c r="CT13" s="24"/>
      <c r="CU13" s="23"/>
      <c r="CV13" s="24"/>
      <c r="CW13" s="23"/>
      <c r="CX13" s="24"/>
      <c r="CY13" s="23"/>
      <c r="CZ13" s="24"/>
      <c r="DA13" s="23"/>
      <c r="DB13" s="24"/>
      <c r="DC13" s="23"/>
      <c r="DD13" s="24"/>
      <c r="DE13" s="23"/>
      <c r="DF13" s="24"/>
      <c r="DG13" s="23"/>
      <c r="DH13" s="24"/>
      <c r="DI13" s="23"/>
      <c r="DJ13" s="24"/>
      <c r="DK13" s="23"/>
      <c r="DL13" s="24"/>
      <c r="DM13" s="23"/>
      <c r="DN13" s="24"/>
      <c r="DO13" s="23"/>
      <c r="DP13" s="24"/>
      <c r="DQ13" s="23"/>
      <c r="DR13" s="24"/>
      <c r="DS13" s="23"/>
      <c r="DT13" s="24"/>
      <c r="DU13" s="23"/>
      <c r="DV13" s="24"/>
      <c r="DW13" s="23"/>
      <c r="DX13" s="24"/>
      <c r="DY13" s="23"/>
      <c r="DZ13" s="24"/>
      <c r="EA13" s="23"/>
      <c r="EB13" s="24"/>
      <c r="EC13" s="23"/>
      <c r="ED13" s="24"/>
      <c r="EE13" s="23"/>
      <c r="EF13" s="24"/>
      <c r="EG13" s="23"/>
      <c r="EH13" s="24"/>
      <c r="EI13" s="23"/>
      <c r="EJ13" s="24"/>
      <c r="EK13" s="23"/>
      <c r="EL13" s="24"/>
      <c r="EM13" s="23"/>
      <c r="EN13" s="24"/>
      <c r="EO13" s="23"/>
      <c r="EP13" s="24"/>
      <c r="EQ13" s="23"/>
      <c r="ER13" s="24"/>
      <c r="ES13" s="23"/>
      <c r="ET13" s="24"/>
      <c r="EU13" s="23"/>
      <c r="EV13" s="24"/>
      <c r="EW13" s="23"/>
      <c r="EX13" s="24"/>
      <c r="EY13" s="23"/>
      <c r="EZ13" s="24"/>
      <c r="FA13" s="23"/>
      <c r="FB13" s="24"/>
      <c r="FC13" s="23"/>
      <c r="FD13" s="24"/>
      <c r="FE13" s="23"/>
      <c r="FF13" s="24"/>
      <c r="FG13" s="48"/>
    </row>
    <row r="14" spans="1:164" ht="24.75" customHeight="1">
      <c r="A14" s="62" t="s">
        <v>41</v>
      </c>
      <c r="B14" s="24"/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  <c r="S14" s="23"/>
      <c r="T14" s="24"/>
      <c r="U14" s="23"/>
      <c r="V14" s="24"/>
      <c r="W14" s="23"/>
      <c r="X14" s="24"/>
      <c r="Y14" s="23"/>
      <c r="Z14" s="24"/>
      <c r="AA14" s="23"/>
      <c r="AB14" s="24"/>
      <c r="AC14" s="23"/>
      <c r="AD14" s="24"/>
      <c r="AE14" s="23"/>
      <c r="AF14" s="24"/>
      <c r="AG14" s="23"/>
      <c r="AH14" s="24"/>
      <c r="AI14" s="23"/>
      <c r="AJ14" s="24"/>
      <c r="AK14" s="23"/>
      <c r="AL14" s="24"/>
      <c r="AM14" s="23"/>
      <c r="AN14" s="24"/>
      <c r="AO14" s="23"/>
      <c r="AP14" s="24"/>
      <c r="AQ14" s="23"/>
      <c r="AR14" s="24"/>
      <c r="AS14" s="23"/>
      <c r="AT14" s="24"/>
      <c r="AU14" s="23"/>
      <c r="AV14" s="24"/>
      <c r="AW14" s="23"/>
      <c r="AX14" s="24"/>
      <c r="AY14" s="23"/>
      <c r="AZ14" s="24"/>
      <c r="BA14" s="23"/>
      <c r="BB14" s="24"/>
      <c r="BC14" s="23"/>
      <c r="BD14" s="24"/>
      <c r="BE14" s="23"/>
      <c r="BF14" s="24"/>
      <c r="BG14" s="23"/>
      <c r="BH14" s="24"/>
      <c r="BI14" s="23"/>
      <c r="BJ14" s="24"/>
      <c r="BK14" s="23"/>
      <c r="BL14" s="24"/>
      <c r="BM14" s="23"/>
      <c r="BN14" s="24"/>
      <c r="BO14" s="23"/>
      <c r="BP14" s="24"/>
      <c r="BQ14" s="23"/>
      <c r="BR14" s="24"/>
      <c r="BS14" s="23"/>
      <c r="BT14" s="54" t="s">
        <v>41</v>
      </c>
      <c r="BU14" s="53"/>
      <c r="BV14" s="53"/>
      <c r="BW14" s="53"/>
      <c r="BX14" s="53"/>
      <c r="BY14" s="23"/>
      <c r="BZ14" s="24"/>
      <c r="CA14" s="54" t="s">
        <v>41</v>
      </c>
      <c r="CB14" s="53"/>
      <c r="CC14" s="53"/>
      <c r="CD14" s="53"/>
      <c r="CE14" s="53"/>
      <c r="CF14" s="24"/>
      <c r="CG14" s="23"/>
      <c r="CH14" s="24"/>
      <c r="CI14" s="23"/>
      <c r="CJ14" s="24"/>
      <c r="CK14" s="23"/>
      <c r="CL14" s="24"/>
      <c r="CM14" s="23"/>
      <c r="CN14" s="24"/>
      <c r="CO14" s="23"/>
      <c r="CP14" s="24"/>
      <c r="CQ14" s="23"/>
      <c r="CR14" s="54" t="s">
        <v>42</v>
      </c>
      <c r="CS14" s="54"/>
      <c r="CT14" s="24"/>
      <c r="CU14" s="23"/>
      <c r="CV14" s="54" t="s">
        <v>42</v>
      </c>
      <c r="CW14" s="54"/>
      <c r="CX14" s="54"/>
      <c r="CY14" s="23"/>
      <c r="CZ14" s="24"/>
      <c r="DA14" s="23"/>
      <c r="DB14" s="24"/>
      <c r="DC14" s="23"/>
      <c r="DD14" s="24"/>
      <c r="DE14" s="23"/>
      <c r="DF14" s="24"/>
      <c r="DG14" s="23"/>
      <c r="DH14" s="24"/>
      <c r="DI14" s="23"/>
      <c r="DJ14" s="24"/>
      <c r="DK14" s="23"/>
      <c r="DL14" s="24"/>
      <c r="DM14" s="23"/>
      <c r="DN14" s="24"/>
      <c r="DO14" s="23"/>
      <c r="DP14" s="24"/>
      <c r="DQ14" s="23"/>
      <c r="DR14" s="24"/>
      <c r="DS14" s="23"/>
      <c r="DT14" s="24"/>
      <c r="DU14" s="23"/>
      <c r="DV14" s="24"/>
      <c r="DW14" s="23"/>
      <c r="DX14" s="24"/>
      <c r="DY14" s="23"/>
      <c r="DZ14" s="24"/>
      <c r="EA14" s="23"/>
      <c r="EB14" s="24"/>
      <c r="EC14" s="23"/>
      <c r="ED14" s="24"/>
      <c r="EE14" s="23"/>
      <c r="EF14" s="24"/>
      <c r="EG14" s="23"/>
      <c r="EH14" s="24"/>
      <c r="EI14" s="23"/>
      <c r="EJ14" s="24"/>
      <c r="EK14" s="23"/>
      <c r="EL14" s="24"/>
      <c r="EM14" s="23"/>
      <c r="EN14" s="24"/>
      <c r="EO14" s="23"/>
      <c r="EP14" s="24"/>
      <c r="EQ14" s="23"/>
      <c r="ER14" s="24"/>
      <c r="ES14" s="23"/>
      <c r="ET14" s="24"/>
      <c r="EU14" s="23"/>
      <c r="EV14" s="24"/>
      <c r="EW14" s="23"/>
      <c r="EX14" s="24"/>
      <c r="EY14" s="23"/>
      <c r="EZ14" s="24"/>
      <c r="FA14" s="23"/>
      <c r="FB14" s="24"/>
      <c r="FC14" s="23"/>
      <c r="FD14" s="24"/>
      <c r="FE14" s="23"/>
      <c r="FF14" s="24"/>
      <c r="FG14" s="48"/>
    </row>
    <row r="15" spans="1:164" ht="24.75" customHeight="1">
      <c r="A15" s="55" t="s">
        <v>43</v>
      </c>
      <c r="B15" s="24"/>
      <c r="C15" s="23"/>
      <c r="D15" s="24"/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3"/>
      <c r="P15" s="24"/>
      <c r="Q15" s="23"/>
      <c r="R15" s="24"/>
      <c r="S15" s="23"/>
      <c r="T15" s="24"/>
      <c r="U15" s="23"/>
      <c r="V15" s="24"/>
      <c r="W15" s="23"/>
      <c r="X15" s="24"/>
      <c r="Y15" s="23"/>
      <c r="Z15" s="24"/>
      <c r="AA15" s="23"/>
      <c r="AB15" s="24"/>
      <c r="AC15" s="23"/>
      <c r="AD15" s="24"/>
      <c r="AE15" s="23"/>
      <c r="AF15" s="24"/>
      <c r="AG15" s="23"/>
      <c r="AH15" s="24"/>
      <c r="AI15" s="23"/>
      <c r="AJ15" s="24"/>
      <c r="AK15" s="23"/>
      <c r="AL15" s="24"/>
      <c r="AM15" s="23"/>
      <c r="AN15" s="24"/>
      <c r="AO15" s="23"/>
      <c r="AP15" s="24"/>
      <c r="AQ15" s="23"/>
      <c r="AR15" s="24"/>
      <c r="AS15" s="23"/>
      <c r="AT15" s="24"/>
      <c r="AU15" s="23"/>
      <c r="AV15" s="24"/>
      <c r="AW15" s="23"/>
      <c r="AX15" s="24"/>
      <c r="AY15" s="23"/>
      <c r="AZ15" s="24"/>
      <c r="BA15" s="23"/>
      <c r="BB15" s="24"/>
      <c r="BC15" s="23"/>
      <c r="BD15" s="24"/>
      <c r="BE15" s="23"/>
      <c r="BF15" s="24"/>
      <c r="BG15" s="23"/>
      <c r="BH15" s="24"/>
      <c r="BI15" s="23"/>
      <c r="BJ15" s="24"/>
      <c r="BK15" s="23"/>
      <c r="BL15" s="24"/>
      <c r="BM15" s="23"/>
      <c r="BN15" s="24"/>
      <c r="BO15" s="23"/>
      <c r="BP15" s="24"/>
      <c r="BQ15" s="23"/>
      <c r="BR15" s="24"/>
      <c r="BS15" s="23"/>
      <c r="BT15" s="24"/>
      <c r="BU15" s="23"/>
      <c r="BV15" s="24"/>
      <c r="BW15" s="23"/>
      <c r="BX15" s="24"/>
      <c r="BY15" s="23"/>
      <c r="BZ15" s="24"/>
      <c r="CA15" s="23"/>
      <c r="CB15" s="24"/>
      <c r="CC15" s="23"/>
      <c r="CD15" s="24"/>
      <c r="CE15" s="23"/>
      <c r="CF15" s="24"/>
      <c r="CG15" s="23"/>
      <c r="CH15" s="60" t="s">
        <v>44</v>
      </c>
      <c r="CI15" s="56"/>
      <c r="CJ15" s="56"/>
      <c r="CK15" s="56"/>
      <c r="CL15" s="56"/>
      <c r="CM15" s="23"/>
      <c r="CN15" s="24"/>
      <c r="CO15" s="60" t="s">
        <v>44</v>
      </c>
      <c r="CP15" s="56"/>
      <c r="CQ15" s="56"/>
      <c r="CR15" s="24"/>
      <c r="CS15" s="23"/>
      <c r="CT15" s="24"/>
      <c r="CU15" s="23"/>
      <c r="CV15" s="24"/>
      <c r="CW15" s="23"/>
      <c r="CX15" s="24"/>
      <c r="CY15" s="23"/>
      <c r="CZ15" s="24"/>
      <c r="DA15" s="23"/>
      <c r="DB15" s="24"/>
      <c r="DC15" s="23"/>
      <c r="DD15" s="24"/>
      <c r="DE15" s="23"/>
      <c r="DF15" s="24"/>
      <c r="DG15" s="23"/>
      <c r="DH15" s="24"/>
      <c r="DI15" s="23"/>
      <c r="DJ15" s="24"/>
      <c r="DK15" s="23"/>
      <c r="DL15" s="24"/>
      <c r="DM15" s="23"/>
      <c r="DN15" s="24"/>
      <c r="DO15" s="23"/>
      <c r="DP15" s="24"/>
      <c r="DQ15" s="23"/>
      <c r="DR15" s="24"/>
      <c r="DS15" s="23"/>
      <c r="DT15" s="24"/>
      <c r="DU15" s="23"/>
      <c r="DV15" s="24"/>
      <c r="DW15" s="23"/>
      <c r="DX15" s="24"/>
      <c r="DY15" s="23"/>
      <c r="DZ15" s="24"/>
      <c r="EA15" s="23"/>
      <c r="EB15" s="24"/>
      <c r="EC15" s="23"/>
      <c r="ED15" s="24"/>
      <c r="EE15" s="23"/>
      <c r="EF15" s="24"/>
      <c r="EG15" s="23"/>
      <c r="EH15" s="24"/>
      <c r="EI15" s="23"/>
      <c r="EJ15" s="24"/>
      <c r="EK15" s="23"/>
      <c r="EL15" s="24"/>
      <c r="EM15" s="23"/>
      <c r="EN15" s="24"/>
      <c r="EO15" s="23"/>
      <c r="EP15" s="24"/>
      <c r="EQ15" s="23"/>
      <c r="ER15" s="24"/>
      <c r="ES15" s="23"/>
      <c r="ET15" s="24"/>
      <c r="EU15" s="23"/>
      <c r="EV15" s="24"/>
      <c r="EW15" s="23"/>
      <c r="EX15" s="24"/>
      <c r="EY15" s="23"/>
      <c r="EZ15" s="24"/>
      <c r="FA15" s="23"/>
      <c r="FB15" s="24"/>
      <c r="FC15" s="23"/>
      <c r="FD15" s="24"/>
      <c r="FE15" s="23"/>
      <c r="FF15" s="24"/>
      <c r="FG15" s="18"/>
    </row>
    <row r="16" spans="1:164" ht="24.75" customHeight="1">
      <c r="A16" s="36" t="s">
        <v>45</v>
      </c>
      <c r="B16" s="24"/>
      <c r="C16" s="23"/>
      <c r="D16" s="24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  <c r="S16" s="23"/>
      <c r="T16" s="24"/>
      <c r="U16" s="23"/>
      <c r="V16" s="24"/>
      <c r="W16" s="23"/>
      <c r="X16" s="24"/>
      <c r="Y16" s="23"/>
      <c r="Z16" s="24"/>
      <c r="AA16" s="23"/>
      <c r="AB16" s="24"/>
      <c r="AC16" s="23"/>
      <c r="AD16" s="24"/>
      <c r="AE16" s="23"/>
      <c r="AF16" s="24"/>
      <c r="AG16" s="23"/>
      <c r="AH16" s="24"/>
      <c r="AI16" s="23"/>
      <c r="AJ16" s="24"/>
      <c r="AK16" s="23"/>
      <c r="AL16" s="24"/>
      <c r="AM16" s="23"/>
      <c r="AN16" s="24"/>
      <c r="AO16" s="23"/>
      <c r="AP16" s="24"/>
      <c r="AQ16" s="23"/>
      <c r="AR16" s="24"/>
      <c r="AS16" s="23"/>
      <c r="AT16" s="24"/>
      <c r="AU16" s="23"/>
      <c r="AV16" s="24"/>
      <c r="AW16" s="23"/>
      <c r="AX16" s="24"/>
      <c r="AY16" s="23"/>
      <c r="AZ16" s="24"/>
      <c r="BA16" s="23"/>
      <c r="BB16" s="24"/>
      <c r="BC16" s="23"/>
      <c r="BD16" s="24"/>
      <c r="BE16" s="23"/>
      <c r="BF16" s="24"/>
      <c r="BG16" s="23"/>
      <c r="BH16" s="24"/>
      <c r="BI16" s="23"/>
      <c r="BJ16" s="24"/>
      <c r="BK16" s="23"/>
      <c r="BL16" s="24"/>
      <c r="BM16" s="23"/>
      <c r="BN16" s="24"/>
      <c r="BO16" s="23"/>
      <c r="BP16" s="24"/>
      <c r="BQ16" s="23"/>
      <c r="BR16" s="24"/>
      <c r="BS16" s="23"/>
      <c r="BT16" s="24"/>
      <c r="BU16" s="23"/>
      <c r="BV16" s="24"/>
      <c r="BW16" s="23"/>
      <c r="BX16" s="24"/>
      <c r="BY16" s="23"/>
      <c r="BZ16" s="24"/>
      <c r="CA16" s="23"/>
      <c r="CB16" s="24"/>
      <c r="CC16" s="23"/>
      <c r="CD16" s="24"/>
      <c r="CE16" s="23"/>
      <c r="CF16" s="24"/>
      <c r="CG16" s="23"/>
      <c r="CH16" s="24"/>
      <c r="CI16" s="23"/>
      <c r="CJ16" s="24"/>
      <c r="CK16" s="23"/>
      <c r="CL16" s="24"/>
      <c r="CM16" s="23"/>
      <c r="CN16" s="24"/>
      <c r="CO16" s="23"/>
      <c r="CP16" s="24"/>
      <c r="CQ16" s="23"/>
      <c r="CR16" s="24"/>
      <c r="CS16" s="23"/>
      <c r="CT16" s="24"/>
      <c r="CU16" s="23"/>
      <c r="CV16" s="24"/>
      <c r="CW16" s="23"/>
      <c r="CX16" s="24"/>
      <c r="CY16" s="23"/>
      <c r="CZ16" s="24"/>
      <c r="DA16" s="23"/>
      <c r="DB16" s="24"/>
      <c r="DC16" s="23"/>
      <c r="DD16" s="24"/>
      <c r="DE16" s="23"/>
      <c r="DF16" s="24"/>
      <c r="DG16" s="23"/>
      <c r="DH16" s="24"/>
      <c r="DI16" s="23"/>
      <c r="DJ16" s="24"/>
      <c r="DK16" s="23"/>
      <c r="DL16" s="24"/>
      <c r="DM16" s="23"/>
      <c r="DN16" s="24"/>
      <c r="DO16" s="23"/>
      <c r="DP16" s="24"/>
      <c r="DQ16" s="23"/>
      <c r="DR16" s="24"/>
      <c r="DS16" s="23"/>
      <c r="DT16" s="24"/>
      <c r="DU16" s="23"/>
      <c r="DV16" s="24"/>
      <c r="DW16" s="23"/>
      <c r="DX16" s="24"/>
      <c r="DY16" s="23"/>
      <c r="DZ16" s="24"/>
      <c r="EA16" s="23"/>
      <c r="EB16" s="24"/>
      <c r="EC16" s="23"/>
      <c r="ED16" s="24"/>
      <c r="EE16" s="23"/>
      <c r="EF16" s="24"/>
      <c r="EG16" s="23"/>
      <c r="EH16" s="24"/>
      <c r="EI16" s="23"/>
      <c r="EJ16" s="24"/>
      <c r="EK16" s="23"/>
      <c r="EL16" s="24"/>
      <c r="EM16" s="23"/>
      <c r="EN16" s="24"/>
      <c r="EO16" s="23"/>
      <c r="EP16" s="24"/>
      <c r="EQ16" s="23"/>
      <c r="ER16" s="24"/>
      <c r="ES16" s="23"/>
      <c r="ET16" s="24"/>
      <c r="EU16" s="23"/>
      <c r="EV16" s="24"/>
      <c r="EW16" s="23"/>
      <c r="EX16" s="24"/>
      <c r="EY16" s="23"/>
      <c r="EZ16" s="24"/>
      <c r="FA16" s="23"/>
      <c r="FB16" s="24"/>
      <c r="FC16" s="23"/>
      <c r="FD16" s="24"/>
      <c r="FE16" s="23"/>
      <c r="FF16" s="24"/>
      <c r="FG16" s="18"/>
    </row>
    <row r="17" spans="1:163" ht="24.75" customHeight="1">
      <c r="A17" s="36" t="s">
        <v>46</v>
      </c>
      <c r="B17" s="24"/>
      <c r="C17" s="23"/>
      <c r="D17" s="24"/>
      <c r="E17" s="23"/>
      <c r="F17" s="24"/>
      <c r="G17" s="23"/>
      <c r="H17" s="24"/>
      <c r="I17" s="23"/>
      <c r="J17" s="24"/>
      <c r="K17" s="23"/>
      <c r="L17" s="24"/>
      <c r="M17" s="23"/>
      <c r="N17" s="24"/>
      <c r="O17" s="23"/>
      <c r="P17" s="24"/>
      <c r="Q17" s="23"/>
      <c r="R17" s="24"/>
      <c r="S17" s="23"/>
      <c r="T17" s="24"/>
      <c r="U17" s="23"/>
      <c r="V17" s="24"/>
      <c r="W17" s="23"/>
      <c r="X17" s="24"/>
      <c r="Y17" s="23"/>
      <c r="Z17" s="24"/>
      <c r="AA17" s="23"/>
      <c r="AB17" s="24"/>
      <c r="AC17" s="23"/>
      <c r="AD17" s="24"/>
      <c r="AE17" s="23"/>
      <c r="AF17" s="24"/>
      <c r="AG17" s="23"/>
      <c r="AH17" s="24"/>
      <c r="AI17" s="23"/>
      <c r="AJ17" s="24"/>
      <c r="AK17" s="23"/>
      <c r="AL17" s="24"/>
      <c r="AM17" s="23"/>
      <c r="AN17" s="24"/>
      <c r="AO17" s="23"/>
      <c r="AP17" s="24"/>
      <c r="AQ17" s="23"/>
      <c r="AR17" s="24"/>
      <c r="AS17" s="23"/>
      <c r="AT17" s="24"/>
      <c r="AU17" s="23"/>
      <c r="AV17" s="24"/>
      <c r="AW17" s="23"/>
      <c r="AX17" s="24"/>
      <c r="AY17" s="23"/>
      <c r="AZ17" s="24"/>
      <c r="BA17" s="23"/>
      <c r="BB17" s="24"/>
      <c r="BC17" s="23"/>
      <c r="BD17" s="24"/>
      <c r="BE17" s="23"/>
      <c r="BF17" s="24"/>
      <c r="BG17" s="23"/>
      <c r="BH17" s="24"/>
      <c r="BI17" s="23"/>
      <c r="BJ17" s="24"/>
      <c r="BK17" s="23"/>
      <c r="BL17" s="24"/>
      <c r="BM17" s="23"/>
      <c r="BN17" s="24"/>
      <c r="BO17" s="23"/>
      <c r="BP17" s="24"/>
      <c r="BQ17" s="23"/>
      <c r="BR17" s="24"/>
      <c r="BS17" s="23"/>
      <c r="BT17" s="24"/>
      <c r="BU17" s="23"/>
      <c r="BV17" s="24"/>
      <c r="BW17" s="23"/>
      <c r="BX17" s="24"/>
      <c r="BY17" s="23"/>
      <c r="BZ17" s="24"/>
      <c r="CA17" s="23"/>
      <c r="CB17" s="24"/>
      <c r="CC17" s="23"/>
      <c r="CD17" s="24"/>
      <c r="CE17" s="23"/>
      <c r="CF17" s="24"/>
      <c r="CG17" s="23"/>
      <c r="CH17" s="24"/>
      <c r="CI17" s="23"/>
      <c r="CJ17" s="24"/>
      <c r="CK17" s="23"/>
      <c r="CL17" s="24"/>
      <c r="CM17" s="23"/>
      <c r="CN17" s="24"/>
      <c r="CO17" s="23"/>
      <c r="CP17" s="24"/>
      <c r="CQ17" s="23"/>
      <c r="CR17" s="24"/>
      <c r="CS17" s="23"/>
      <c r="CT17" s="24"/>
      <c r="CU17" s="23"/>
      <c r="CV17" s="24"/>
      <c r="CW17" s="23"/>
      <c r="CX17" s="24"/>
      <c r="CY17" s="23"/>
      <c r="CZ17" s="24"/>
      <c r="DA17" s="23"/>
      <c r="DB17" s="24"/>
      <c r="DC17" s="23"/>
      <c r="DD17" s="24"/>
      <c r="DE17" s="23"/>
      <c r="DF17" s="24"/>
      <c r="DG17" s="23"/>
      <c r="DH17" s="24"/>
      <c r="DI17" s="23"/>
      <c r="DJ17" s="24"/>
      <c r="DK17" s="23"/>
      <c r="DL17" s="24"/>
      <c r="DM17" s="23"/>
      <c r="DN17" s="24"/>
      <c r="DO17" s="23"/>
      <c r="DP17" s="24"/>
      <c r="DQ17" s="23"/>
      <c r="DR17" s="24"/>
      <c r="DS17" s="23"/>
      <c r="DT17" s="24"/>
      <c r="DU17" s="23"/>
      <c r="DV17" s="24"/>
      <c r="DW17" s="23"/>
      <c r="DX17" s="24"/>
      <c r="DY17" s="23"/>
      <c r="DZ17" s="24"/>
      <c r="EA17" s="23"/>
      <c r="EB17" s="24"/>
      <c r="EC17" s="23"/>
      <c r="ED17" s="24"/>
      <c r="EE17" s="23"/>
      <c r="EF17" s="24"/>
      <c r="EG17" s="23"/>
      <c r="EH17" s="24"/>
      <c r="EI17" s="23"/>
      <c r="EJ17" s="24"/>
      <c r="EK17" s="23"/>
      <c r="EL17" s="24"/>
      <c r="EM17" s="23"/>
      <c r="EN17" s="24"/>
      <c r="EO17" s="23"/>
      <c r="EP17" s="24"/>
      <c r="EQ17" s="23"/>
      <c r="ER17" s="24"/>
      <c r="ES17" s="23"/>
      <c r="ET17" s="24"/>
      <c r="EU17" s="23"/>
      <c r="EV17" s="24"/>
      <c r="EW17" s="23"/>
      <c r="EX17" s="24"/>
      <c r="EY17" s="23"/>
      <c r="EZ17" s="24"/>
      <c r="FA17" s="23"/>
      <c r="FB17" s="24"/>
      <c r="FC17" s="23"/>
      <c r="FD17" s="24"/>
      <c r="FE17" s="23"/>
      <c r="FF17" s="24"/>
      <c r="FG17" s="18"/>
    </row>
    <row r="18" spans="1:163" ht="24.75" customHeight="1">
      <c r="A18" s="36"/>
      <c r="B18" s="24"/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3"/>
      <c r="P18" s="24"/>
      <c r="Q18" s="23"/>
      <c r="R18" s="24"/>
      <c r="S18" s="23"/>
      <c r="T18" s="24"/>
      <c r="U18" s="23"/>
      <c r="V18" s="24"/>
      <c r="W18" s="23"/>
      <c r="X18" s="24"/>
      <c r="Y18" s="23"/>
      <c r="Z18" s="24"/>
      <c r="AA18" s="23"/>
      <c r="AB18" s="24"/>
      <c r="AC18" s="23"/>
      <c r="AD18" s="24"/>
      <c r="AE18" s="23"/>
      <c r="AF18" s="24"/>
      <c r="AG18" s="23"/>
      <c r="AH18" s="24"/>
      <c r="AI18" s="23"/>
      <c r="AJ18" s="24"/>
      <c r="AK18" s="23"/>
      <c r="AL18" s="24"/>
      <c r="AM18" s="23"/>
      <c r="AN18" s="24"/>
      <c r="AO18" s="23"/>
      <c r="AP18" s="24"/>
      <c r="AQ18" s="23"/>
      <c r="AR18" s="24"/>
      <c r="AS18" s="23"/>
      <c r="AT18" s="24"/>
      <c r="AU18" s="23"/>
      <c r="AV18" s="24"/>
      <c r="AW18" s="23"/>
      <c r="AX18" s="24"/>
      <c r="AY18" s="23"/>
      <c r="AZ18" s="24"/>
      <c r="BA18" s="23"/>
      <c r="BB18" s="24"/>
      <c r="BC18" s="23"/>
      <c r="BD18" s="24"/>
      <c r="BE18" s="23"/>
      <c r="BF18" s="24"/>
      <c r="BG18" s="23"/>
      <c r="BH18" s="24"/>
      <c r="BI18" s="23"/>
      <c r="BJ18" s="24"/>
      <c r="BK18" s="23"/>
      <c r="BL18" s="24"/>
      <c r="BM18" s="23"/>
      <c r="BN18" s="24"/>
      <c r="BO18" s="23"/>
      <c r="BP18" s="24"/>
      <c r="BQ18" s="23"/>
      <c r="BR18" s="24"/>
      <c r="BS18" s="23"/>
      <c r="BT18" s="24"/>
      <c r="BU18" s="23"/>
      <c r="BV18" s="24"/>
      <c r="BW18" s="23"/>
      <c r="BX18" s="24"/>
      <c r="BY18" s="23"/>
      <c r="BZ18" s="24"/>
      <c r="CA18" s="23"/>
      <c r="CB18" s="24"/>
      <c r="CC18" s="23"/>
      <c r="CD18" s="24"/>
      <c r="CE18" s="23"/>
      <c r="CF18" s="24"/>
      <c r="CG18" s="23"/>
      <c r="CH18" s="24"/>
      <c r="CI18" s="23"/>
      <c r="CJ18" s="24"/>
      <c r="CK18" s="23"/>
      <c r="CL18" s="24"/>
      <c r="CM18" s="23"/>
      <c r="CN18" s="24"/>
      <c r="CO18" s="23"/>
      <c r="CP18" s="24"/>
      <c r="CQ18" s="23"/>
      <c r="CR18" s="24"/>
      <c r="CS18" s="23"/>
      <c r="CT18" s="24"/>
      <c r="CU18" s="23"/>
      <c r="CV18" s="24"/>
      <c r="CW18" s="23"/>
      <c r="CX18" s="24"/>
      <c r="CY18" s="23"/>
      <c r="CZ18" s="24"/>
      <c r="DA18" s="23"/>
      <c r="DB18" s="24"/>
      <c r="DC18" s="23"/>
      <c r="DD18" s="24"/>
      <c r="DE18" s="23"/>
      <c r="DF18" s="24"/>
      <c r="DG18" s="23"/>
      <c r="DH18" s="24"/>
      <c r="DI18" s="23"/>
      <c r="DJ18" s="24"/>
      <c r="DK18" s="23"/>
      <c r="DL18" s="24"/>
      <c r="DM18" s="23"/>
      <c r="DN18" s="24"/>
      <c r="DO18" s="23"/>
      <c r="DP18" s="24"/>
      <c r="DQ18" s="23"/>
      <c r="DR18" s="24"/>
      <c r="DS18" s="23"/>
      <c r="DT18" s="24"/>
      <c r="DU18" s="23"/>
      <c r="DV18" s="24"/>
      <c r="DW18" s="23"/>
      <c r="DX18" s="24"/>
      <c r="DY18" s="23"/>
      <c r="DZ18" s="24"/>
      <c r="EA18" s="23"/>
      <c r="EB18" s="24"/>
      <c r="EC18" s="23"/>
      <c r="ED18" s="24"/>
      <c r="EE18" s="23"/>
      <c r="EF18" s="24"/>
      <c r="EG18" s="23"/>
      <c r="EH18" s="24"/>
      <c r="EI18" s="23"/>
      <c r="EJ18" s="24"/>
      <c r="EK18" s="23"/>
      <c r="EL18" s="24"/>
      <c r="EM18" s="23"/>
      <c r="EN18" s="24"/>
      <c r="EO18" s="23"/>
      <c r="EP18" s="24"/>
      <c r="EQ18" s="23"/>
      <c r="ER18" s="24"/>
      <c r="ES18" s="23"/>
      <c r="ET18" s="24"/>
      <c r="EU18" s="23"/>
      <c r="EV18" s="24"/>
      <c r="EW18" s="23"/>
      <c r="EX18" s="24"/>
      <c r="EY18" s="23"/>
      <c r="EZ18" s="24"/>
      <c r="FA18" s="23"/>
      <c r="FB18" s="24"/>
      <c r="FC18" s="23"/>
      <c r="FD18" s="24"/>
      <c r="FE18" s="23"/>
      <c r="FF18" s="24"/>
      <c r="FG18" s="18"/>
    </row>
    <row r="19" spans="1:163" ht="24.75" customHeight="1">
      <c r="A19" s="36"/>
      <c r="B19" s="24"/>
      <c r="C19" s="23"/>
      <c r="D19" s="24"/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  <c r="U19" s="23"/>
      <c r="V19" s="24"/>
      <c r="W19" s="23"/>
      <c r="X19" s="24"/>
      <c r="Y19" s="23"/>
      <c r="Z19" s="24"/>
      <c r="AA19" s="23"/>
      <c r="AB19" s="24"/>
      <c r="AC19" s="23"/>
      <c r="AD19" s="24"/>
      <c r="AE19" s="23"/>
      <c r="AF19" s="24"/>
      <c r="AG19" s="23"/>
      <c r="AH19" s="24"/>
      <c r="AI19" s="23"/>
      <c r="AJ19" s="24"/>
      <c r="AK19" s="23"/>
      <c r="AL19" s="24"/>
      <c r="AM19" s="23"/>
      <c r="AN19" s="24"/>
      <c r="AO19" s="23"/>
      <c r="AP19" s="24"/>
      <c r="AQ19" s="23"/>
      <c r="AR19" s="24"/>
      <c r="AS19" s="23"/>
      <c r="AT19" s="24"/>
      <c r="AU19" s="23"/>
      <c r="AV19" s="24"/>
      <c r="AW19" s="23"/>
      <c r="AX19" s="24"/>
      <c r="AY19" s="23"/>
      <c r="AZ19" s="24"/>
      <c r="BA19" s="23"/>
      <c r="BB19" s="24"/>
      <c r="BC19" s="23"/>
      <c r="BD19" s="24"/>
      <c r="BE19" s="23"/>
      <c r="BF19" s="24"/>
      <c r="BG19" s="23"/>
      <c r="BH19" s="24"/>
      <c r="BI19" s="23"/>
      <c r="BJ19" s="24"/>
      <c r="BK19" s="23"/>
      <c r="BL19" s="24"/>
      <c r="BM19" s="23"/>
      <c r="BN19" s="24"/>
      <c r="BO19" s="23"/>
      <c r="BP19" s="24"/>
      <c r="BQ19" s="23"/>
      <c r="BR19" s="24"/>
      <c r="BS19" s="23"/>
      <c r="BT19" s="24"/>
      <c r="BU19" s="23"/>
      <c r="BV19" s="24"/>
      <c r="BW19" s="23"/>
      <c r="BX19" s="24"/>
      <c r="BY19" s="23"/>
      <c r="BZ19" s="24"/>
      <c r="CA19" s="23"/>
      <c r="CB19" s="24"/>
      <c r="CC19" s="23"/>
      <c r="CD19" s="24"/>
      <c r="CE19" s="23"/>
      <c r="CF19" s="24"/>
      <c r="CG19" s="23"/>
      <c r="CH19" s="24"/>
      <c r="CI19" s="23"/>
      <c r="CJ19" s="24"/>
      <c r="CK19" s="23"/>
      <c r="CL19" s="24"/>
      <c r="CM19" s="23"/>
      <c r="CN19" s="24"/>
      <c r="CO19" s="23"/>
      <c r="CP19" s="24"/>
      <c r="CQ19" s="23"/>
      <c r="CR19" s="24"/>
      <c r="CS19" s="23"/>
      <c r="CT19" s="24"/>
      <c r="CU19" s="23"/>
      <c r="CV19" s="24"/>
      <c r="CW19" s="23"/>
      <c r="CX19" s="24"/>
      <c r="CY19" s="23"/>
      <c r="CZ19" s="24"/>
      <c r="DA19" s="23"/>
      <c r="DB19" s="24"/>
      <c r="DC19" s="23"/>
      <c r="DD19" s="24"/>
      <c r="DE19" s="23"/>
      <c r="DF19" s="24"/>
      <c r="DG19" s="23"/>
      <c r="DH19" s="24"/>
      <c r="DI19" s="23"/>
      <c r="DJ19" s="24"/>
      <c r="DK19" s="23"/>
      <c r="DL19" s="24"/>
      <c r="DM19" s="23"/>
      <c r="DN19" s="24"/>
      <c r="DO19" s="23"/>
      <c r="DP19" s="24"/>
      <c r="DQ19" s="23"/>
      <c r="DR19" s="24"/>
      <c r="DS19" s="23"/>
      <c r="DT19" s="24"/>
      <c r="DU19" s="23"/>
      <c r="DV19" s="24"/>
      <c r="DW19" s="23"/>
      <c r="DX19" s="24"/>
      <c r="DY19" s="23"/>
      <c r="DZ19" s="24"/>
      <c r="EA19" s="23"/>
      <c r="EB19" s="24"/>
      <c r="EC19" s="23"/>
      <c r="ED19" s="24"/>
      <c r="EE19" s="23"/>
      <c r="EF19" s="24"/>
      <c r="EG19" s="23"/>
      <c r="EH19" s="24"/>
      <c r="EI19" s="23"/>
      <c r="EJ19" s="24"/>
      <c r="EK19" s="23"/>
      <c r="EL19" s="24"/>
      <c r="EM19" s="23"/>
      <c r="EN19" s="24"/>
      <c r="EO19" s="23"/>
      <c r="EP19" s="24"/>
      <c r="EQ19" s="23"/>
      <c r="ER19" s="24"/>
      <c r="ES19" s="23"/>
      <c r="ET19" s="24"/>
      <c r="EU19" s="23"/>
      <c r="EV19" s="24"/>
      <c r="EW19" s="23"/>
      <c r="EX19" s="24"/>
      <c r="EY19" s="23"/>
      <c r="EZ19" s="24"/>
      <c r="FA19" s="23"/>
      <c r="FB19" s="24"/>
      <c r="FC19" s="23"/>
      <c r="FD19" s="24"/>
      <c r="FE19" s="23"/>
      <c r="FF19" s="24"/>
      <c r="FG19" s="18"/>
    </row>
    <row r="20" spans="1:163" ht="24.75" customHeight="1">
      <c r="A20" s="16"/>
      <c r="B20" s="24"/>
      <c r="C20" s="23"/>
      <c r="D20" s="24"/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3"/>
      <c r="P20" s="24"/>
      <c r="Q20" s="23"/>
      <c r="R20" s="24"/>
      <c r="S20" s="23"/>
      <c r="T20" s="24"/>
      <c r="U20" s="23"/>
      <c r="V20" s="24"/>
      <c r="W20" s="23"/>
      <c r="X20" s="24"/>
      <c r="Y20" s="23"/>
      <c r="Z20" s="24"/>
      <c r="AA20" s="23"/>
      <c r="AB20" s="24"/>
      <c r="AC20" s="23"/>
      <c r="AD20" s="24"/>
      <c r="AE20" s="23"/>
      <c r="AF20" s="24"/>
      <c r="AG20" s="23"/>
      <c r="AH20" s="24"/>
      <c r="AI20" s="23"/>
      <c r="AJ20" s="24"/>
      <c r="AK20" s="23"/>
      <c r="AL20" s="24"/>
      <c r="AM20" s="23"/>
      <c r="AN20" s="24"/>
      <c r="AO20" s="23"/>
      <c r="AP20" s="24"/>
      <c r="AQ20" s="23"/>
      <c r="AR20" s="24"/>
      <c r="AS20" s="23"/>
      <c r="AT20" s="24"/>
      <c r="AU20" s="23"/>
      <c r="AV20" s="24"/>
      <c r="AW20" s="23"/>
      <c r="AX20" s="24"/>
      <c r="AY20" s="23"/>
      <c r="AZ20" s="24"/>
      <c r="BA20" s="23"/>
      <c r="BB20" s="24"/>
      <c r="BC20" s="23"/>
      <c r="BD20" s="24"/>
      <c r="BE20" s="23"/>
      <c r="BF20" s="24"/>
      <c r="BG20" s="23"/>
      <c r="BH20" s="24"/>
      <c r="BI20" s="23"/>
      <c r="BJ20" s="24"/>
      <c r="BK20" s="23"/>
      <c r="BL20" s="24"/>
      <c r="BM20" s="23"/>
      <c r="BN20" s="24"/>
      <c r="BO20" s="23"/>
      <c r="BP20" s="24"/>
      <c r="BQ20" s="23"/>
      <c r="BR20" s="24"/>
      <c r="BS20" s="23"/>
      <c r="BT20" s="24"/>
      <c r="BU20" s="23"/>
      <c r="BV20" s="24"/>
      <c r="BW20" s="23"/>
      <c r="BX20" s="24"/>
      <c r="BY20" s="23"/>
      <c r="BZ20" s="24"/>
      <c r="CA20" s="23"/>
      <c r="CB20" s="24"/>
      <c r="CC20" s="23"/>
      <c r="CD20" s="24"/>
      <c r="CE20" s="23"/>
      <c r="CF20" s="24"/>
      <c r="CG20" s="23"/>
      <c r="CH20" s="24"/>
      <c r="CI20" s="23"/>
      <c r="CJ20" s="24"/>
      <c r="CK20" s="23"/>
      <c r="CL20" s="24"/>
      <c r="CM20" s="23"/>
      <c r="CN20" s="24"/>
      <c r="CO20" s="23"/>
      <c r="CP20" s="24"/>
      <c r="CQ20" s="23"/>
      <c r="CR20" s="24"/>
      <c r="CS20" s="23"/>
      <c r="CT20" s="24"/>
      <c r="CU20" s="23"/>
      <c r="CV20" s="24"/>
      <c r="CW20" s="23"/>
      <c r="CX20" s="24"/>
      <c r="CY20" s="23"/>
      <c r="CZ20" s="24"/>
      <c r="DA20" s="23"/>
      <c r="DB20" s="24"/>
      <c r="DC20" s="23"/>
      <c r="DD20" s="24"/>
      <c r="DE20" s="23"/>
      <c r="DF20" s="24"/>
      <c r="DG20" s="23"/>
      <c r="DH20" s="24"/>
      <c r="DI20" s="23"/>
      <c r="DJ20" s="24"/>
      <c r="DK20" s="23"/>
      <c r="DL20" s="24"/>
      <c r="DM20" s="23"/>
      <c r="DN20" s="24"/>
      <c r="DO20" s="23"/>
      <c r="DP20" s="24"/>
      <c r="DQ20" s="23"/>
      <c r="DR20" s="24"/>
      <c r="DS20" s="23"/>
      <c r="DT20" s="24"/>
      <c r="DU20" s="23"/>
      <c r="DV20" s="24"/>
      <c r="DW20" s="23"/>
      <c r="DX20" s="24"/>
      <c r="DY20" s="23"/>
      <c r="DZ20" s="24"/>
      <c r="EA20" s="23"/>
      <c r="EB20" s="24"/>
      <c r="EC20" s="23"/>
      <c r="ED20" s="24"/>
      <c r="EE20" s="23"/>
      <c r="EF20" s="24"/>
      <c r="EG20" s="23"/>
      <c r="EH20" s="24"/>
      <c r="EI20" s="23"/>
      <c r="EJ20" s="24"/>
      <c r="EK20" s="23"/>
      <c r="EL20" s="24"/>
      <c r="EM20" s="23"/>
      <c r="EN20" s="24"/>
      <c r="EO20" s="23"/>
      <c r="EP20" s="24"/>
      <c r="EQ20" s="23"/>
      <c r="ER20" s="24"/>
      <c r="ES20" s="23"/>
      <c r="ET20" s="24"/>
      <c r="EU20" s="23"/>
      <c r="EV20" s="24"/>
      <c r="EW20" s="23"/>
      <c r="EX20" s="24"/>
      <c r="EY20" s="23"/>
      <c r="EZ20" s="24"/>
      <c r="FA20" s="23"/>
      <c r="FB20" s="24"/>
      <c r="FC20" s="23"/>
      <c r="FD20" s="24"/>
      <c r="FE20" s="23"/>
      <c r="FF20" s="24"/>
      <c r="FG20" s="18"/>
    </row>
    <row r="21" spans="1:163" ht="24.75" customHeight="1">
      <c r="A21" s="16"/>
      <c r="B21" s="24"/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3"/>
      <c r="P21" s="24"/>
      <c r="Q21" s="23"/>
      <c r="R21" s="24"/>
      <c r="S21" s="23"/>
      <c r="T21" s="24"/>
      <c r="U21" s="23"/>
      <c r="V21" s="24"/>
      <c r="W21" s="23"/>
      <c r="X21" s="24"/>
      <c r="Y21" s="23"/>
      <c r="Z21" s="24"/>
      <c r="AA21" s="23"/>
      <c r="AB21" s="24"/>
      <c r="AC21" s="23"/>
      <c r="AD21" s="24"/>
      <c r="AE21" s="23"/>
      <c r="AF21" s="24"/>
      <c r="AG21" s="23"/>
      <c r="AH21" s="24"/>
      <c r="AI21" s="23"/>
      <c r="AJ21" s="24"/>
      <c r="AK21" s="23"/>
      <c r="AL21" s="24"/>
      <c r="AM21" s="23"/>
      <c r="AN21" s="24"/>
      <c r="AO21" s="23"/>
      <c r="AP21" s="24"/>
      <c r="AQ21" s="23"/>
      <c r="AR21" s="24"/>
      <c r="AS21" s="23"/>
      <c r="AT21" s="24"/>
      <c r="AU21" s="23"/>
      <c r="AV21" s="24"/>
      <c r="AW21" s="23"/>
      <c r="AX21" s="24"/>
      <c r="AY21" s="23"/>
      <c r="AZ21" s="24"/>
      <c r="BA21" s="23"/>
      <c r="BB21" s="24"/>
      <c r="BC21" s="23"/>
      <c r="BD21" s="24"/>
      <c r="BE21" s="23"/>
      <c r="BF21" s="24"/>
      <c r="BG21" s="23"/>
      <c r="BH21" s="24"/>
      <c r="BI21" s="23"/>
      <c r="BJ21" s="24"/>
      <c r="BK21" s="23"/>
      <c r="BL21" s="24"/>
      <c r="BM21" s="23"/>
      <c r="BN21" s="24"/>
      <c r="BO21" s="23"/>
      <c r="BP21" s="24"/>
      <c r="BQ21" s="23"/>
      <c r="BR21" s="24"/>
      <c r="BS21" s="23"/>
      <c r="BT21" s="24"/>
      <c r="BU21" s="23"/>
      <c r="BV21" s="24"/>
      <c r="BW21" s="23"/>
      <c r="BX21" s="24"/>
      <c r="BY21" s="23"/>
      <c r="BZ21" s="24"/>
      <c r="CA21" s="23"/>
      <c r="CB21" s="24"/>
      <c r="CC21" s="23"/>
      <c r="CD21" s="24"/>
      <c r="CE21" s="23"/>
      <c r="CF21" s="24"/>
      <c r="CG21" s="23"/>
      <c r="CH21" s="24"/>
      <c r="CI21" s="23"/>
      <c r="CJ21" s="24"/>
      <c r="CK21" s="23"/>
      <c r="CL21" s="24"/>
      <c r="CM21" s="23"/>
      <c r="CN21" s="24"/>
      <c r="CO21" s="23"/>
      <c r="CP21" s="24"/>
      <c r="CQ21" s="23"/>
      <c r="CR21" s="24"/>
      <c r="CS21" s="23"/>
      <c r="CT21" s="24"/>
      <c r="CU21" s="23"/>
      <c r="CV21" s="24"/>
      <c r="CW21" s="23"/>
      <c r="CX21" s="24"/>
      <c r="CY21" s="23"/>
      <c r="CZ21" s="24"/>
      <c r="DA21" s="23"/>
      <c r="DB21" s="24"/>
      <c r="DC21" s="23"/>
      <c r="DD21" s="24"/>
      <c r="DE21" s="23"/>
      <c r="DF21" s="24"/>
      <c r="DG21" s="23"/>
      <c r="DH21" s="24"/>
      <c r="DI21" s="23"/>
      <c r="DJ21" s="24"/>
      <c r="DK21" s="23"/>
      <c r="DL21" s="24"/>
      <c r="DM21" s="23"/>
      <c r="DN21" s="24"/>
      <c r="DO21" s="23"/>
      <c r="DP21" s="24"/>
      <c r="DQ21" s="23"/>
      <c r="DR21" s="24"/>
      <c r="DS21" s="23"/>
      <c r="DT21" s="24"/>
      <c r="DU21" s="23"/>
      <c r="DV21" s="24"/>
      <c r="DW21" s="23"/>
      <c r="DX21" s="24"/>
      <c r="DY21" s="23"/>
      <c r="DZ21" s="24"/>
      <c r="EA21" s="23"/>
      <c r="EB21" s="24"/>
      <c r="EC21" s="23"/>
      <c r="ED21" s="24"/>
      <c r="EE21" s="23"/>
      <c r="EF21" s="24"/>
      <c r="EG21" s="23"/>
      <c r="EH21" s="24"/>
      <c r="EI21" s="23"/>
      <c r="EJ21" s="24"/>
      <c r="EK21" s="23"/>
      <c r="EL21" s="24"/>
      <c r="EM21" s="23"/>
      <c r="EN21" s="24"/>
      <c r="EO21" s="23"/>
      <c r="EP21" s="24"/>
      <c r="EQ21" s="23"/>
      <c r="ER21" s="24"/>
      <c r="ES21" s="23"/>
      <c r="ET21" s="24"/>
      <c r="EU21" s="23"/>
      <c r="EV21" s="24"/>
      <c r="EW21" s="23"/>
      <c r="EX21" s="24"/>
      <c r="EY21" s="23"/>
      <c r="EZ21" s="24"/>
      <c r="FA21" s="23"/>
      <c r="FB21" s="24"/>
      <c r="FC21" s="23"/>
      <c r="FD21" s="24"/>
      <c r="FE21" s="23"/>
      <c r="FF21" s="24"/>
      <c r="FG21" s="18"/>
    </row>
    <row r="22" spans="1:163" ht="24.75" customHeight="1">
      <c r="A22" s="16"/>
      <c r="B22" s="24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  <c r="U22" s="23"/>
      <c r="V22" s="24"/>
      <c r="W22" s="23"/>
      <c r="X22" s="24"/>
      <c r="Y22" s="23"/>
      <c r="Z22" s="24"/>
      <c r="AA22" s="23"/>
      <c r="AB22" s="24"/>
      <c r="AC22" s="23"/>
      <c r="AD22" s="24"/>
      <c r="AE22" s="23"/>
      <c r="AF22" s="24"/>
      <c r="AG22" s="23"/>
      <c r="AH22" s="24"/>
      <c r="AI22" s="23"/>
      <c r="AJ22" s="24"/>
      <c r="AK22" s="23"/>
      <c r="AL22" s="24"/>
      <c r="AM22" s="23"/>
      <c r="AN22" s="24"/>
      <c r="AO22" s="23"/>
      <c r="AP22" s="24"/>
      <c r="AQ22" s="23"/>
      <c r="AR22" s="24"/>
      <c r="AS22" s="23"/>
      <c r="AT22" s="24"/>
      <c r="AU22" s="23"/>
      <c r="AV22" s="24"/>
      <c r="AW22" s="23"/>
      <c r="AX22" s="24"/>
      <c r="AY22" s="23"/>
      <c r="AZ22" s="24"/>
      <c r="BA22" s="23"/>
      <c r="BB22" s="24"/>
      <c r="BC22" s="23"/>
      <c r="BD22" s="24"/>
      <c r="BE22" s="23"/>
      <c r="BF22" s="24"/>
      <c r="BG22" s="23"/>
      <c r="BH22" s="24"/>
      <c r="BI22" s="23"/>
      <c r="BJ22" s="24"/>
      <c r="BK22" s="23"/>
      <c r="BL22" s="24"/>
      <c r="BM22" s="23"/>
      <c r="BN22" s="24"/>
      <c r="BO22" s="23"/>
      <c r="BP22" s="24"/>
      <c r="BQ22" s="23"/>
      <c r="BR22" s="24"/>
      <c r="BS22" s="23"/>
      <c r="BT22" s="24"/>
      <c r="BU22" s="23"/>
      <c r="BV22" s="24"/>
      <c r="BW22" s="23"/>
      <c r="BX22" s="24"/>
      <c r="BY22" s="23"/>
      <c r="BZ22" s="24"/>
      <c r="CA22" s="23"/>
      <c r="CB22" s="24"/>
      <c r="CC22" s="23"/>
      <c r="CD22" s="24"/>
      <c r="CE22" s="23"/>
      <c r="CF22" s="24"/>
      <c r="CG22" s="23"/>
      <c r="CH22" s="24"/>
      <c r="CI22" s="23"/>
      <c r="CJ22" s="24"/>
      <c r="CK22" s="23"/>
      <c r="CL22" s="24"/>
      <c r="CM22" s="23"/>
      <c r="CN22" s="24"/>
      <c r="CO22" s="23"/>
      <c r="CP22" s="24"/>
      <c r="CQ22" s="23"/>
      <c r="CR22" s="24"/>
      <c r="CS22" s="23"/>
      <c r="CT22" s="24"/>
      <c r="CU22" s="23"/>
      <c r="CV22" s="24"/>
      <c r="CW22" s="23"/>
      <c r="CX22" s="24"/>
      <c r="CY22" s="23"/>
      <c r="CZ22" s="24"/>
      <c r="DA22" s="23"/>
      <c r="DB22" s="24"/>
      <c r="DC22" s="23"/>
      <c r="DD22" s="24"/>
      <c r="DE22" s="23"/>
      <c r="DF22" s="24"/>
      <c r="DG22" s="23"/>
      <c r="DH22" s="24"/>
      <c r="DI22" s="23"/>
      <c r="DJ22" s="24"/>
      <c r="DK22" s="23"/>
      <c r="DL22" s="24"/>
      <c r="DM22" s="23"/>
      <c r="DN22" s="24"/>
      <c r="DO22" s="23"/>
      <c r="DP22" s="24"/>
      <c r="DQ22" s="23"/>
      <c r="DR22" s="24"/>
      <c r="DS22" s="23"/>
      <c r="DT22" s="24"/>
      <c r="DU22" s="23"/>
      <c r="DV22" s="24"/>
      <c r="DW22" s="23"/>
      <c r="DX22" s="24"/>
      <c r="DY22" s="23"/>
      <c r="DZ22" s="24"/>
      <c r="EA22" s="23"/>
      <c r="EB22" s="24"/>
      <c r="EC22" s="23"/>
      <c r="ED22" s="24"/>
      <c r="EE22" s="23"/>
      <c r="EF22" s="24"/>
      <c r="EG22" s="23"/>
      <c r="EH22" s="24"/>
      <c r="EI22" s="23"/>
      <c r="EJ22" s="24"/>
      <c r="EK22" s="23"/>
      <c r="EL22" s="24"/>
      <c r="EM22" s="23"/>
      <c r="EN22" s="24"/>
      <c r="EO22" s="23"/>
      <c r="EP22" s="24"/>
      <c r="EQ22" s="23"/>
      <c r="ER22" s="24"/>
      <c r="ES22" s="23"/>
      <c r="ET22" s="24"/>
      <c r="EU22" s="23"/>
      <c r="EV22" s="24"/>
      <c r="EW22" s="23"/>
      <c r="EX22" s="24"/>
      <c r="EY22" s="23"/>
      <c r="EZ22" s="24"/>
      <c r="FA22" s="23"/>
      <c r="FB22" s="24"/>
      <c r="FC22" s="23"/>
      <c r="FD22" s="24"/>
      <c r="FE22" s="23"/>
      <c r="FF22" s="24"/>
      <c r="FG22" s="18"/>
    </row>
    <row r="23" spans="1:163" ht="24.75" customHeight="1">
      <c r="A23" s="16"/>
      <c r="B23" s="24"/>
      <c r="C23" s="23"/>
      <c r="D23" s="24"/>
      <c r="E23" s="23"/>
      <c r="F23" s="24"/>
      <c r="G23" s="23"/>
      <c r="H23" s="24"/>
      <c r="I23" s="23"/>
      <c r="J23" s="24"/>
      <c r="K23" s="23"/>
      <c r="L23" s="24"/>
      <c r="M23" s="23"/>
      <c r="N23" s="24"/>
      <c r="O23" s="23"/>
      <c r="P23" s="24"/>
      <c r="Q23" s="23"/>
      <c r="R23" s="24"/>
      <c r="S23" s="23"/>
      <c r="T23" s="24"/>
      <c r="U23" s="23"/>
      <c r="V23" s="24"/>
      <c r="W23" s="23"/>
      <c r="X23" s="24"/>
      <c r="Y23" s="23"/>
      <c r="Z23" s="24"/>
      <c r="AA23" s="23"/>
      <c r="AB23" s="24"/>
      <c r="AC23" s="23"/>
      <c r="AD23" s="24"/>
      <c r="AE23" s="23"/>
      <c r="AF23" s="24"/>
      <c r="AG23" s="23"/>
      <c r="AH23" s="24"/>
      <c r="AI23" s="23"/>
      <c r="AJ23" s="24"/>
      <c r="AK23" s="23"/>
      <c r="AL23" s="24"/>
      <c r="AM23" s="23"/>
      <c r="AN23" s="24"/>
      <c r="AO23" s="23"/>
      <c r="AP23" s="24"/>
      <c r="AQ23" s="23"/>
      <c r="AR23" s="24"/>
      <c r="AS23" s="23"/>
      <c r="AT23" s="24"/>
      <c r="AU23" s="23"/>
      <c r="AV23" s="24"/>
      <c r="AW23" s="23"/>
      <c r="AX23" s="24"/>
      <c r="AY23" s="23"/>
      <c r="AZ23" s="24"/>
      <c r="BA23" s="23"/>
      <c r="BB23" s="24"/>
      <c r="BC23" s="23"/>
      <c r="BD23" s="24"/>
      <c r="BE23" s="23"/>
      <c r="BF23" s="24"/>
      <c r="BG23" s="23"/>
      <c r="BH23" s="24"/>
      <c r="BI23" s="23"/>
      <c r="BJ23" s="24"/>
      <c r="BK23" s="23"/>
      <c r="BL23" s="24"/>
      <c r="BM23" s="23"/>
      <c r="BN23" s="24"/>
      <c r="BO23" s="23"/>
      <c r="BP23" s="24"/>
      <c r="BQ23" s="23"/>
      <c r="BR23" s="24"/>
      <c r="BS23" s="23"/>
      <c r="BT23" s="24"/>
      <c r="BU23" s="23"/>
      <c r="BV23" s="24"/>
      <c r="BW23" s="23"/>
      <c r="BX23" s="24"/>
      <c r="BY23" s="23"/>
      <c r="BZ23" s="24"/>
      <c r="CA23" s="23"/>
      <c r="CB23" s="24"/>
      <c r="CC23" s="23"/>
      <c r="CD23" s="24"/>
      <c r="CE23" s="23"/>
      <c r="CF23" s="24"/>
      <c r="CG23" s="23"/>
      <c r="CH23" s="24"/>
      <c r="CI23" s="23"/>
      <c r="CJ23" s="24"/>
      <c r="CK23" s="23"/>
      <c r="CL23" s="24"/>
      <c r="CM23" s="23"/>
      <c r="CN23" s="24"/>
      <c r="CO23" s="23"/>
      <c r="CP23" s="24"/>
      <c r="CQ23" s="23"/>
      <c r="CR23" s="24"/>
      <c r="CS23" s="23"/>
      <c r="CT23" s="24"/>
      <c r="CU23" s="23"/>
      <c r="CV23" s="24"/>
      <c r="CW23" s="23"/>
      <c r="CX23" s="24"/>
      <c r="CY23" s="23"/>
      <c r="CZ23" s="24"/>
      <c r="DA23" s="23"/>
      <c r="DB23" s="24"/>
      <c r="DC23" s="23"/>
      <c r="DD23" s="24"/>
      <c r="DE23" s="23"/>
      <c r="DF23" s="24"/>
      <c r="DG23" s="23"/>
      <c r="DH23" s="24"/>
      <c r="DI23" s="23"/>
      <c r="DJ23" s="24"/>
      <c r="DK23" s="23"/>
      <c r="DL23" s="24"/>
      <c r="DM23" s="23"/>
      <c r="DN23" s="24"/>
      <c r="DO23" s="23"/>
      <c r="DP23" s="24"/>
      <c r="DQ23" s="23"/>
      <c r="DR23" s="24"/>
      <c r="DS23" s="23"/>
      <c r="DT23" s="24"/>
      <c r="DU23" s="23"/>
      <c r="DV23" s="24"/>
      <c r="DW23" s="23"/>
      <c r="DX23" s="24"/>
      <c r="DY23" s="23"/>
      <c r="DZ23" s="24"/>
      <c r="EA23" s="23"/>
      <c r="EB23" s="24"/>
      <c r="EC23" s="23"/>
      <c r="ED23" s="24"/>
      <c r="EE23" s="23"/>
      <c r="EF23" s="24"/>
      <c r="EG23" s="23"/>
      <c r="EH23" s="24"/>
      <c r="EI23" s="23"/>
      <c r="EJ23" s="24"/>
      <c r="EK23" s="23"/>
      <c r="EL23" s="24"/>
      <c r="EM23" s="23"/>
      <c r="EN23" s="24"/>
      <c r="EO23" s="23"/>
      <c r="EP23" s="24"/>
      <c r="EQ23" s="23"/>
      <c r="ER23" s="24"/>
      <c r="ES23" s="23"/>
      <c r="ET23" s="24"/>
      <c r="EU23" s="23"/>
      <c r="EV23" s="24"/>
      <c r="EW23" s="23"/>
      <c r="EX23" s="24"/>
      <c r="EY23" s="23"/>
      <c r="EZ23" s="24"/>
      <c r="FA23" s="23"/>
      <c r="FB23" s="24"/>
      <c r="FC23" s="23"/>
      <c r="FD23" s="24"/>
      <c r="FE23" s="23"/>
      <c r="FF23" s="24"/>
      <c r="FG23" s="18"/>
    </row>
    <row r="24" spans="1:163" ht="24.75" customHeight="1">
      <c r="A24" s="19"/>
      <c r="B24" s="25"/>
      <c r="C24" s="26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4"/>
      <c r="AE24" s="23"/>
      <c r="AF24" s="24"/>
      <c r="AG24" s="23"/>
      <c r="AH24" s="24"/>
      <c r="AI24" s="23"/>
      <c r="AJ24" s="24"/>
      <c r="AK24" s="23"/>
      <c r="AL24" s="24"/>
      <c r="AM24" s="23"/>
      <c r="AN24" s="24"/>
      <c r="AO24" s="23"/>
      <c r="AP24" s="24"/>
      <c r="AQ24" s="23"/>
      <c r="AR24" s="24"/>
      <c r="AS24" s="23"/>
      <c r="AT24" s="24"/>
      <c r="AU24" s="23"/>
      <c r="AV24" s="24"/>
      <c r="AW24" s="23"/>
      <c r="AX24" s="24"/>
      <c r="AY24" s="23"/>
      <c r="AZ24" s="24"/>
      <c r="BA24" s="23"/>
      <c r="BB24" s="24"/>
      <c r="BC24" s="23"/>
      <c r="BD24" s="24"/>
      <c r="BE24" s="23"/>
      <c r="BF24" s="24"/>
      <c r="BG24" s="23"/>
      <c r="BH24" s="24"/>
      <c r="BI24" s="23"/>
      <c r="BJ24" s="24"/>
      <c r="BK24" s="23"/>
      <c r="BL24" s="24"/>
      <c r="BM24" s="23"/>
      <c r="BN24" s="24"/>
      <c r="BO24" s="23"/>
      <c r="BP24" s="24"/>
      <c r="BQ24" s="23"/>
      <c r="BR24" s="24"/>
      <c r="BS24" s="23"/>
      <c r="BT24" s="24"/>
      <c r="BU24" s="23"/>
      <c r="BV24" s="24"/>
      <c r="BW24" s="23"/>
      <c r="BX24" s="24"/>
      <c r="BY24" s="23"/>
      <c r="BZ24" s="24"/>
      <c r="CA24" s="23"/>
      <c r="CB24" s="24"/>
      <c r="CC24" s="23"/>
      <c r="CD24" s="24"/>
      <c r="CE24" s="23"/>
      <c r="CF24" s="24"/>
      <c r="CG24" s="23"/>
      <c r="CH24" s="24"/>
      <c r="CI24" s="23"/>
      <c r="CJ24" s="24"/>
      <c r="CK24" s="23"/>
      <c r="CL24" s="24"/>
      <c r="CM24" s="23"/>
      <c r="CN24" s="24"/>
      <c r="CO24" s="23"/>
      <c r="CP24" s="24"/>
      <c r="CQ24" s="23"/>
      <c r="CR24" s="24"/>
      <c r="CS24" s="23"/>
      <c r="CT24" s="24"/>
      <c r="CU24" s="23"/>
      <c r="CV24" s="24"/>
      <c r="CW24" s="23"/>
      <c r="CX24" s="24"/>
      <c r="CY24" s="23"/>
      <c r="CZ24" s="24"/>
      <c r="DA24" s="23"/>
      <c r="DB24" s="24"/>
      <c r="DC24" s="23"/>
      <c r="DD24" s="24"/>
      <c r="DE24" s="23"/>
      <c r="DF24" s="24"/>
      <c r="DG24" s="23"/>
      <c r="DH24" s="24"/>
      <c r="DI24" s="23"/>
      <c r="DJ24" s="24"/>
      <c r="DK24" s="23"/>
      <c r="DL24" s="24"/>
      <c r="DM24" s="23"/>
      <c r="DN24" s="24"/>
      <c r="DO24" s="23"/>
      <c r="DP24" s="24"/>
      <c r="DQ24" s="23"/>
      <c r="DR24" s="24"/>
      <c r="DS24" s="23"/>
      <c r="DT24" s="24"/>
      <c r="DU24" s="23"/>
      <c r="DV24" s="24"/>
      <c r="DW24" s="23"/>
      <c r="DX24" s="24"/>
      <c r="DY24" s="23"/>
      <c r="DZ24" s="24"/>
      <c r="EA24" s="23"/>
      <c r="EB24" s="24"/>
      <c r="EC24" s="23"/>
      <c r="ED24" s="24"/>
      <c r="EE24" s="23"/>
      <c r="EF24" s="24"/>
      <c r="EG24" s="23"/>
      <c r="EH24" s="24"/>
      <c r="EI24" s="23"/>
      <c r="EJ24" s="24"/>
      <c r="EK24" s="23"/>
      <c r="EL24" s="24"/>
      <c r="EM24" s="23"/>
      <c r="EN24" s="24"/>
      <c r="EO24" s="23"/>
      <c r="EP24" s="24"/>
      <c r="EQ24" s="23"/>
      <c r="ER24" s="24"/>
      <c r="ES24" s="23"/>
      <c r="ET24" s="24"/>
      <c r="EU24" s="23"/>
      <c r="EV24" s="24"/>
      <c r="EW24" s="23"/>
      <c r="EX24" s="24"/>
      <c r="EY24" s="23"/>
      <c r="EZ24" s="24"/>
      <c r="FA24" s="23"/>
      <c r="FB24" s="24"/>
      <c r="FC24" s="23"/>
      <c r="FD24" s="24"/>
      <c r="FE24" s="23"/>
      <c r="FF24" s="24"/>
      <c r="FG24" s="20"/>
    </row>
    <row r="25" spans="1:163" ht="24.75" customHeight="1">
      <c r="A25" s="16"/>
      <c r="B25" s="24"/>
      <c r="C25" s="23"/>
      <c r="D25" s="24"/>
      <c r="E25" s="23"/>
      <c r="F25" s="24"/>
      <c r="G25" s="23"/>
      <c r="H25" s="24"/>
      <c r="I25" s="23"/>
      <c r="J25" s="24"/>
      <c r="K25" s="23"/>
      <c r="L25" s="24"/>
      <c r="M25" s="23"/>
      <c r="N25" s="24"/>
      <c r="O25" s="23"/>
      <c r="P25" s="24"/>
      <c r="Q25" s="23"/>
      <c r="R25" s="24"/>
      <c r="S25" s="23"/>
      <c r="T25" s="24"/>
      <c r="U25" s="23"/>
      <c r="V25" s="24"/>
      <c r="W25" s="23"/>
      <c r="X25" s="24"/>
      <c r="Y25" s="23"/>
      <c r="Z25" s="24"/>
      <c r="AA25" s="23"/>
      <c r="AB25" s="24"/>
      <c r="AC25" s="23"/>
      <c r="AD25" s="24"/>
      <c r="AE25" s="23"/>
      <c r="AF25" s="24"/>
      <c r="AG25" s="23"/>
      <c r="AH25" s="24"/>
      <c r="AI25" s="23"/>
      <c r="AJ25" s="24"/>
      <c r="AK25" s="23"/>
      <c r="AL25" s="24"/>
      <c r="AM25" s="23"/>
      <c r="AN25" s="24"/>
      <c r="AO25" s="23"/>
      <c r="AP25" s="24"/>
      <c r="AQ25" s="23"/>
      <c r="AR25" s="24"/>
      <c r="AS25" s="23"/>
      <c r="AT25" s="24"/>
      <c r="AU25" s="23"/>
      <c r="AV25" s="24"/>
      <c r="AW25" s="23"/>
      <c r="AX25" s="24"/>
      <c r="AY25" s="23"/>
      <c r="AZ25" s="24"/>
      <c r="BA25" s="23"/>
      <c r="BB25" s="24"/>
      <c r="BC25" s="23"/>
      <c r="BD25" s="24"/>
      <c r="BE25" s="23"/>
      <c r="BF25" s="24"/>
      <c r="BG25" s="23"/>
      <c r="BH25" s="24"/>
      <c r="BI25" s="23"/>
      <c r="BJ25" s="24"/>
      <c r="BK25" s="23"/>
      <c r="BL25" s="24"/>
      <c r="BM25" s="23"/>
      <c r="BN25" s="24"/>
      <c r="BO25" s="23"/>
      <c r="BP25" s="24"/>
      <c r="BQ25" s="23"/>
      <c r="BR25" s="24"/>
      <c r="BS25" s="23"/>
      <c r="BT25" s="24"/>
      <c r="BU25" s="23"/>
      <c r="BV25" s="24"/>
      <c r="BW25" s="23"/>
      <c r="BX25" s="24"/>
      <c r="BY25" s="23"/>
      <c r="BZ25" s="24"/>
      <c r="CA25" s="23"/>
      <c r="CB25" s="24"/>
      <c r="CC25" s="23"/>
      <c r="CD25" s="24"/>
      <c r="CE25" s="23"/>
      <c r="CF25" s="24"/>
      <c r="CG25" s="23"/>
      <c r="CH25" s="24"/>
      <c r="CI25" s="23"/>
      <c r="CJ25" s="24"/>
      <c r="CK25" s="23"/>
      <c r="CL25" s="24"/>
      <c r="CM25" s="23"/>
      <c r="CN25" s="24"/>
      <c r="CO25" s="23"/>
      <c r="CP25" s="24"/>
      <c r="CQ25" s="23"/>
      <c r="CR25" s="24"/>
      <c r="CS25" s="23"/>
      <c r="CT25" s="24"/>
      <c r="CU25" s="23"/>
      <c r="CV25" s="24"/>
      <c r="CW25" s="23"/>
      <c r="CX25" s="24"/>
      <c r="CY25" s="23"/>
      <c r="CZ25" s="24"/>
      <c r="DA25" s="23"/>
      <c r="DB25" s="24"/>
      <c r="DC25" s="23"/>
      <c r="DD25" s="24"/>
      <c r="DE25" s="23"/>
      <c r="DF25" s="24"/>
      <c r="DG25" s="23"/>
      <c r="DH25" s="24"/>
      <c r="DI25" s="23"/>
      <c r="DJ25" s="24"/>
      <c r="DK25" s="23"/>
      <c r="DL25" s="24"/>
      <c r="DM25" s="23"/>
      <c r="DN25" s="24"/>
      <c r="DO25" s="23"/>
      <c r="DP25" s="24"/>
      <c r="DQ25" s="23"/>
      <c r="DR25" s="24"/>
      <c r="DS25" s="23"/>
      <c r="DT25" s="24"/>
      <c r="DU25" s="23"/>
      <c r="DV25" s="24"/>
      <c r="DW25" s="23"/>
      <c r="DX25" s="24"/>
      <c r="DY25" s="23"/>
      <c r="DZ25" s="24"/>
      <c r="EA25" s="23"/>
      <c r="EB25" s="24"/>
      <c r="EC25" s="23"/>
      <c r="ED25" s="24"/>
      <c r="EE25" s="23"/>
      <c r="EF25" s="24"/>
      <c r="EG25" s="23"/>
      <c r="EH25" s="24"/>
      <c r="EI25" s="23"/>
      <c r="EJ25" s="24"/>
      <c r="EK25" s="23"/>
      <c r="EL25" s="24"/>
      <c r="EM25" s="23"/>
      <c r="EN25" s="24"/>
      <c r="EO25" s="23"/>
      <c r="EP25" s="24"/>
      <c r="EQ25" s="23"/>
      <c r="ER25" s="24"/>
      <c r="ES25" s="23"/>
      <c r="ET25" s="24"/>
      <c r="EU25" s="23"/>
      <c r="EV25" s="24"/>
      <c r="EW25" s="23"/>
      <c r="EX25" s="24"/>
      <c r="EY25" s="23"/>
      <c r="EZ25" s="24"/>
      <c r="FA25" s="23"/>
      <c r="FB25" s="24"/>
      <c r="FC25" s="23"/>
      <c r="FD25" s="24"/>
      <c r="FE25" s="23"/>
      <c r="FF25" s="24"/>
      <c r="FG25" s="18"/>
    </row>
    <row r="26" spans="1:163" ht="24.75" customHeight="1">
      <c r="A26" s="19"/>
      <c r="B26" s="24"/>
      <c r="C26" s="23"/>
      <c r="D26" s="24"/>
      <c r="E26" s="23"/>
      <c r="F26" s="24"/>
      <c r="G26" s="23"/>
      <c r="H26" s="24"/>
      <c r="I26" s="23"/>
      <c r="J26" s="24"/>
      <c r="K26" s="23"/>
      <c r="L26" s="24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4"/>
      <c r="AE26" s="23"/>
      <c r="AF26" s="24"/>
      <c r="AG26" s="23"/>
      <c r="AH26" s="24"/>
      <c r="AI26" s="23"/>
      <c r="AJ26" s="24"/>
      <c r="AK26" s="23"/>
      <c r="AL26" s="24"/>
      <c r="AM26" s="23"/>
      <c r="AN26" s="24"/>
      <c r="AO26" s="23"/>
      <c r="AP26" s="24"/>
      <c r="AQ26" s="23"/>
      <c r="AR26" s="24"/>
      <c r="AS26" s="23"/>
      <c r="AT26" s="24"/>
      <c r="AU26" s="23"/>
      <c r="AV26" s="24"/>
      <c r="AW26" s="23"/>
      <c r="AX26" s="24"/>
      <c r="AY26" s="23"/>
      <c r="AZ26" s="24"/>
      <c r="BA26" s="23"/>
      <c r="BB26" s="24"/>
      <c r="BC26" s="23"/>
      <c r="BD26" s="24"/>
      <c r="BE26" s="23"/>
      <c r="BF26" s="24"/>
      <c r="BG26" s="23"/>
      <c r="BH26" s="24"/>
      <c r="BI26" s="23"/>
      <c r="BJ26" s="24"/>
      <c r="BK26" s="23"/>
      <c r="BL26" s="24"/>
      <c r="BM26" s="23"/>
      <c r="BN26" s="24"/>
      <c r="BO26" s="23"/>
      <c r="BP26" s="24"/>
      <c r="BQ26" s="23"/>
      <c r="BR26" s="24"/>
      <c r="BS26" s="23"/>
      <c r="BT26" s="24"/>
      <c r="BU26" s="23"/>
      <c r="BV26" s="24"/>
      <c r="BW26" s="23"/>
      <c r="BX26" s="24"/>
      <c r="BY26" s="23"/>
      <c r="BZ26" s="24"/>
      <c r="CA26" s="23"/>
      <c r="CB26" s="24"/>
      <c r="CC26" s="23"/>
      <c r="CD26" s="24"/>
      <c r="CE26" s="23"/>
      <c r="CF26" s="24"/>
      <c r="CG26" s="23"/>
      <c r="CH26" s="24"/>
      <c r="CI26" s="23"/>
      <c r="CJ26" s="24"/>
      <c r="CK26" s="23"/>
      <c r="CL26" s="24"/>
      <c r="CM26" s="23"/>
      <c r="CN26" s="24"/>
      <c r="CO26" s="23"/>
      <c r="CP26" s="24"/>
      <c r="CQ26" s="23"/>
      <c r="CR26" s="24"/>
      <c r="CS26" s="23"/>
      <c r="CT26" s="24"/>
      <c r="CU26" s="23"/>
      <c r="CV26" s="24"/>
      <c r="CW26" s="23"/>
      <c r="CX26" s="24"/>
      <c r="CY26" s="23"/>
      <c r="CZ26" s="24"/>
      <c r="DA26" s="23"/>
      <c r="DB26" s="24"/>
      <c r="DC26" s="23"/>
      <c r="DD26" s="24"/>
      <c r="DE26" s="23"/>
      <c r="DF26" s="24"/>
      <c r="DG26" s="23"/>
      <c r="DH26" s="24"/>
      <c r="DI26" s="23"/>
      <c r="DJ26" s="24"/>
      <c r="DK26" s="23"/>
      <c r="DL26" s="24"/>
      <c r="DM26" s="23"/>
      <c r="DN26" s="24"/>
      <c r="DO26" s="23"/>
      <c r="DP26" s="24"/>
      <c r="DQ26" s="23"/>
      <c r="DR26" s="24"/>
      <c r="DS26" s="23"/>
      <c r="DT26" s="24"/>
      <c r="DU26" s="23"/>
      <c r="DV26" s="24"/>
      <c r="DW26" s="23"/>
      <c r="DX26" s="24"/>
      <c r="DY26" s="23"/>
      <c r="DZ26" s="24"/>
      <c r="EA26" s="23"/>
      <c r="EB26" s="24"/>
      <c r="EC26" s="23"/>
      <c r="ED26" s="24"/>
      <c r="EE26" s="23"/>
      <c r="EF26" s="24"/>
      <c r="EG26" s="23"/>
      <c r="EH26" s="24"/>
      <c r="EI26" s="23"/>
      <c r="EJ26" s="24"/>
      <c r="EK26" s="23"/>
      <c r="EL26" s="24"/>
      <c r="EM26" s="23"/>
      <c r="EN26" s="24"/>
      <c r="EO26" s="23"/>
      <c r="EP26" s="24"/>
      <c r="EQ26" s="23"/>
      <c r="ER26" s="24"/>
      <c r="ES26" s="23"/>
      <c r="ET26" s="24"/>
      <c r="EU26" s="23"/>
      <c r="EV26" s="24"/>
      <c r="EW26" s="23"/>
      <c r="EX26" s="24"/>
      <c r="EY26" s="23"/>
      <c r="EZ26" s="24"/>
      <c r="FA26" s="23"/>
      <c r="FB26" s="24"/>
      <c r="FC26" s="23"/>
      <c r="FD26" s="24"/>
      <c r="FE26" s="23"/>
      <c r="FF26" s="24"/>
      <c r="FG26" s="20"/>
    </row>
    <row r="27" spans="1:163" ht="24.75" customHeight="1">
      <c r="A27" s="16"/>
      <c r="B27" s="24"/>
      <c r="C27" s="23"/>
      <c r="D27" s="24"/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3"/>
      <c r="P27" s="24"/>
      <c r="Q27" s="23"/>
      <c r="R27" s="24"/>
      <c r="S27" s="23"/>
      <c r="T27" s="24"/>
      <c r="U27" s="23"/>
      <c r="V27" s="24"/>
      <c r="W27" s="23"/>
      <c r="X27" s="24"/>
      <c r="Y27" s="23"/>
      <c r="Z27" s="24"/>
      <c r="AA27" s="23"/>
      <c r="AB27" s="24"/>
      <c r="AC27" s="23"/>
      <c r="AD27" s="24"/>
      <c r="AE27" s="23"/>
      <c r="AF27" s="24"/>
      <c r="AG27" s="23"/>
      <c r="AH27" s="24"/>
      <c r="AI27" s="23"/>
      <c r="AJ27" s="24"/>
      <c r="AK27" s="23"/>
      <c r="AL27" s="24"/>
      <c r="AM27" s="23"/>
      <c r="AN27" s="24"/>
      <c r="AO27" s="23"/>
      <c r="AP27" s="24"/>
      <c r="AQ27" s="23"/>
      <c r="AR27" s="24"/>
      <c r="AS27" s="23"/>
      <c r="AT27" s="24"/>
      <c r="AU27" s="23"/>
      <c r="AV27" s="24"/>
      <c r="AW27" s="23"/>
      <c r="AX27" s="24"/>
      <c r="AY27" s="23"/>
      <c r="AZ27" s="24"/>
      <c r="BA27" s="23"/>
      <c r="BB27" s="24"/>
      <c r="BC27" s="23"/>
      <c r="BD27" s="24"/>
      <c r="BE27" s="23"/>
      <c r="BF27" s="24"/>
      <c r="BG27" s="23"/>
      <c r="BH27" s="24"/>
      <c r="BI27" s="23"/>
      <c r="BJ27" s="24"/>
      <c r="BK27" s="23"/>
      <c r="BL27" s="24"/>
      <c r="BM27" s="23"/>
      <c r="BN27" s="24"/>
      <c r="BO27" s="23"/>
      <c r="BP27" s="24"/>
      <c r="BQ27" s="23"/>
      <c r="BR27" s="24"/>
      <c r="BS27" s="23"/>
      <c r="BT27" s="24"/>
      <c r="BU27" s="23"/>
      <c r="BV27" s="24"/>
      <c r="BW27" s="23"/>
      <c r="BX27" s="24"/>
      <c r="BY27" s="23"/>
      <c r="BZ27" s="24"/>
      <c r="CA27" s="23"/>
      <c r="CB27" s="24"/>
      <c r="CC27" s="23"/>
      <c r="CD27" s="24"/>
      <c r="CE27" s="23"/>
      <c r="CF27" s="24"/>
      <c r="CG27" s="23"/>
      <c r="CH27" s="24"/>
      <c r="CI27" s="23"/>
      <c r="CJ27" s="24"/>
      <c r="CK27" s="23"/>
      <c r="CL27" s="24"/>
      <c r="CM27" s="23"/>
      <c r="CN27" s="24"/>
      <c r="CO27" s="23"/>
      <c r="CP27" s="24"/>
      <c r="CQ27" s="23"/>
      <c r="CR27" s="24"/>
      <c r="CS27" s="23"/>
      <c r="CT27" s="24"/>
      <c r="CU27" s="23"/>
      <c r="CV27" s="24"/>
      <c r="CW27" s="23"/>
      <c r="CX27" s="24"/>
      <c r="CY27" s="23"/>
      <c r="CZ27" s="24"/>
      <c r="DA27" s="23"/>
      <c r="DB27" s="24"/>
      <c r="DC27" s="23"/>
      <c r="DD27" s="24"/>
      <c r="DE27" s="23"/>
      <c r="DF27" s="24"/>
      <c r="DG27" s="23"/>
      <c r="DH27" s="24"/>
      <c r="DI27" s="23"/>
      <c r="DJ27" s="24"/>
      <c r="DK27" s="23"/>
      <c r="DL27" s="24"/>
      <c r="DM27" s="23"/>
      <c r="DN27" s="24"/>
      <c r="DO27" s="23"/>
      <c r="DP27" s="24"/>
      <c r="DQ27" s="23"/>
      <c r="DR27" s="24"/>
      <c r="DS27" s="23"/>
      <c r="DT27" s="24"/>
      <c r="DU27" s="23"/>
      <c r="DV27" s="24"/>
      <c r="DW27" s="23"/>
      <c r="DX27" s="24"/>
      <c r="DY27" s="23"/>
      <c r="DZ27" s="24"/>
      <c r="EA27" s="23"/>
      <c r="EB27" s="24"/>
      <c r="EC27" s="23"/>
      <c r="ED27" s="24"/>
      <c r="EE27" s="23"/>
      <c r="EF27" s="24"/>
      <c r="EG27" s="23"/>
      <c r="EH27" s="24"/>
      <c r="EI27" s="23"/>
      <c r="EJ27" s="24"/>
      <c r="EK27" s="23"/>
      <c r="EL27" s="24"/>
      <c r="EM27" s="23"/>
      <c r="EN27" s="24"/>
      <c r="EO27" s="23"/>
      <c r="EP27" s="24"/>
      <c r="EQ27" s="23"/>
      <c r="ER27" s="24"/>
      <c r="ES27" s="23"/>
      <c r="ET27" s="24"/>
      <c r="EU27" s="23"/>
      <c r="EV27" s="24"/>
      <c r="EW27" s="23"/>
      <c r="EX27" s="24"/>
      <c r="EY27" s="23"/>
      <c r="EZ27" s="24"/>
      <c r="FA27" s="23"/>
      <c r="FB27" s="24"/>
      <c r="FC27" s="23"/>
      <c r="FD27" s="24"/>
      <c r="FE27" s="23"/>
      <c r="FF27" s="24"/>
      <c r="FG27" s="18"/>
    </row>
    <row r="28" spans="1:163" ht="24.75" customHeight="1">
      <c r="A28" s="19"/>
      <c r="B28" s="24"/>
      <c r="C28" s="23"/>
      <c r="D28" s="24"/>
      <c r="E28" s="23"/>
      <c r="F28" s="24"/>
      <c r="G28" s="23"/>
      <c r="H28" s="24"/>
      <c r="I28" s="23"/>
      <c r="J28" s="24"/>
      <c r="K28" s="23"/>
      <c r="L28" s="24"/>
      <c r="M28" s="26"/>
      <c r="N28" s="25"/>
      <c r="O28" s="26"/>
      <c r="P28" s="25"/>
      <c r="Q28" s="26"/>
      <c r="R28" s="25"/>
      <c r="S28" s="26"/>
      <c r="T28" s="25"/>
      <c r="U28" s="26"/>
      <c r="V28" s="25"/>
      <c r="W28" s="26"/>
      <c r="X28" s="25"/>
      <c r="Y28" s="26"/>
      <c r="Z28" s="25"/>
      <c r="AA28" s="26"/>
      <c r="AB28" s="25"/>
      <c r="AC28" s="26"/>
      <c r="AD28" s="24"/>
      <c r="AE28" s="23"/>
      <c r="AF28" s="24"/>
      <c r="AG28" s="23"/>
      <c r="AH28" s="24"/>
      <c r="AI28" s="23"/>
      <c r="AJ28" s="24"/>
      <c r="AK28" s="23"/>
      <c r="AL28" s="24"/>
      <c r="AM28" s="23"/>
      <c r="AN28" s="24"/>
      <c r="AO28" s="23"/>
      <c r="AP28" s="24"/>
      <c r="AQ28" s="23"/>
      <c r="AR28" s="24"/>
      <c r="AS28" s="23"/>
      <c r="AT28" s="24"/>
      <c r="AU28" s="23"/>
      <c r="AV28" s="24"/>
      <c r="AW28" s="23"/>
      <c r="AX28" s="24"/>
      <c r="AY28" s="23"/>
      <c r="AZ28" s="24"/>
      <c r="BA28" s="23"/>
      <c r="BB28" s="24"/>
      <c r="BC28" s="23"/>
      <c r="BD28" s="24"/>
      <c r="BE28" s="23"/>
      <c r="BF28" s="24"/>
      <c r="BG28" s="23"/>
      <c r="BH28" s="24"/>
      <c r="BI28" s="23"/>
      <c r="BJ28" s="24"/>
      <c r="BK28" s="23"/>
      <c r="BL28" s="24"/>
      <c r="BM28" s="23"/>
      <c r="BN28" s="24"/>
      <c r="BO28" s="23"/>
      <c r="BP28" s="24"/>
      <c r="BQ28" s="23"/>
      <c r="BR28" s="24"/>
      <c r="BS28" s="23"/>
      <c r="BT28" s="24"/>
      <c r="BU28" s="23"/>
      <c r="BV28" s="24"/>
      <c r="BW28" s="23"/>
      <c r="BX28" s="24"/>
      <c r="BY28" s="23"/>
      <c r="BZ28" s="24"/>
      <c r="CA28" s="23"/>
      <c r="CB28" s="24"/>
      <c r="CC28" s="23"/>
      <c r="CD28" s="24"/>
      <c r="CE28" s="23"/>
      <c r="CF28" s="24"/>
      <c r="CG28" s="23"/>
      <c r="CH28" s="24"/>
      <c r="CI28" s="23"/>
      <c r="CJ28" s="24"/>
      <c r="CK28" s="23"/>
      <c r="CL28" s="24"/>
      <c r="CM28" s="23"/>
      <c r="CN28" s="24"/>
      <c r="CO28" s="23"/>
      <c r="CP28" s="24"/>
      <c r="CQ28" s="23"/>
      <c r="CR28" s="24"/>
      <c r="CS28" s="23"/>
      <c r="CT28" s="24"/>
      <c r="CU28" s="23"/>
      <c r="CV28" s="24"/>
      <c r="CW28" s="23"/>
      <c r="CX28" s="24"/>
      <c r="CY28" s="23"/>
      <c r="CZ28" s="24"/>
      <c r="DA28" s="23"/>
      <c r="DB28" s="24"/>
      <c r="DC28" s="23"/>
      <c r="DD28" s="24"/>
      <c r="DE28" s="23"/>
      <c r="DF28" s="24"/>
      <c r="DG28" s="23"/>
      <c r="DH28" s="24"/>
      <c r="DI28" s="23"/>
      <c r="DJ28" s="24"/>
      <c r="DK28" s="23"/>
      <c r="DL28" s="24"/>
      <c r="DM28" s="23"/>
      <c r="DN28" s="24"/>
      <c r="DO28" s="23"/>
      <c r="DP28" s="24"/>
      <c r="DQ28" s="23"/>
      <c r="DR28" s="24"/>
      <c r="DS28" s="23"/>
      <c r="DT28" s="24"/>
      <c r="DU28" s="23"/>
      <c r="DV28" s="24"/>
      <c r="DW28" s="23"/>
      <c r="DX28" s="24"/>
      <c r="DY28" s="23"/>
      <c r="DZ28" s="24"/>
      <c r="EA28" s="23"/>
      <c r="EB28" s="24"/>
      <c r="EC28" s="23"/>
      <c r="ED28" s="24"/>
      <c r="EE28" s="23"/>
      <c r="EF28" s="24"/>
      <c r="EG28" s="23"/>
      <c r="EH28" s="24"/>
      <c r="EI28" s="23"/>
      <c r="EJ28" s="24"/>
      <c r="EK28" s="23"/>
      <c r="EL28" s="24"/>
      <c r="EM28" s="23"/>
      <c r="EN28" s="24"/>
      <c r="EO28" s="23"/>
      <c r="EP28" s="24"/>
      <c r="EQ28" s="23"/>
      <c r="ER28" s="24"/>
      <c r="ES28" s="23"/>
      <c r="ET28" s="24"/>
      <c r="EU28" s="23"/>
      <c r="EV28" s="24"/>
      <c r="EW28" s="23"/>
      <c r="EX28" s="24"/>
      <c r="EY28" s="23"/>
      <c r="EZ28" s="24"/>
      <c r="FA28" s="23"/>
      <c r="FB28" s="24"/>
      <c r="FC28" s="23"/>
      <c r="FD28" s="24"/>
      <c r="FE28" s="23"/>
      <c r="FF28" s="24"/>
      <c r="FG28" s="20"/>
    </row>
    <row r="29" spans="1:163" ht="24.75" customHeight="1">
      <c r="A29" s="16"/>
      <c r="B29" s="24"/>
      <c r="C29" s="23"/>
      <c r="D29" s="24"/>
      <c r="E29" s="23"/>
      <c r="F29" s="24"/>
      <c r="G29" s="23"/>
      <c r="H29" s="24"/>
      <c r="I29" s="23"/>
      <c r="J29" s="24"/>
      <c r="K29" s="23"/>
      <c r="L29" s="24"/>
      <c r="M29" s="23"/>
      <c r="N29" s="24"/>
      <c r="O29" s="23"/>
      <c r="P29" s="24"/>
      <c r="Q29" s="23"/>
      <c r="R29" s="24"/>
      <c r="S29" s="23"/>
      <c r="T29" s="24"/>
      <c r="U29" s="23"/>
      <c r="V29" s="24"/>
      <c r="W29" s="23"/>
      <c r="X29" s="24"/>
      <c r="Y29" s="23"/>
      <c r="Z29" s="24"/>
      <c r="AA29" s="23"/>
      <c r="AB29" s="24"/>
      <c r="AC29" s="23"/>
      <c r="AD29" s="24"/>
      <c r="AE29" s="23"/>
      <c r="AF29" s="24"/>
      <c r="AG29" s="23"/>
      <c r="AH29" s="24"/>
      <c r="AI29" s="23"/>
      <c r="AJ29" s="24"/>
      <c r="AK29" s="23"/>
      <c r="AL29" s="24"/>
      <c r="AM29" s="23"/>
      <c r="AN29" s="24"/>
      <c r="AO29" s="23"/>
      <c r="AP29" s="24"/>
      <c r="AQ29" s="23"/>
      <c r="AR29" s="24"/>
      <c r="AS29" s="23"/>
      <c r="AT29" s="24"/>
      <c r="AU29" s="23"/>
      <c r="AV29" s="24"/>
      <c r="AW29" s="23"/>
      <c r="AX29" s="24"/>
      <c r="AY29" s="23"/>
      <c r="AZ29" s="24"/>
      <c r="BA29" s="23"/>
      <c r="BB29" s="24"/>
      <c r="BC29" s="23"/>
      <c r="BD29" s="24"/>
      <c r="BE29" s="23"/>
      <c r="BF29" s="24"/>
      <c r="BG29" s="23"/>
      <c r="BH29" s="24"/>
      <c r="BI29" s="23"/>
      <c r="BJ29" s="24"/>
      <c r="BK29" s="23"/>
      <c r="BL29" s="24"/>
      <c r="BM29" s="23"/>
      <c r="BN29" s="24"/>
      <c r="BO29" s="23"/>
      <c r="BP29" s="24"/>
      <c r="BQ29" s="23"/>
      <c r="BR29" s="24"/>
      <c r="BS29" s="23"/>
      <c r="BT29" s="24"/>
      <c r="BU29" s="23"/>
      <c r="BV29" s="24"/>
      <c r="BW29" s="23"/>
      <c r="BX29" s="24"/>
      <c r="BY29" s="23"/>
      <c r="BZ29" s="24"/>
      <c r="CA29" s="23"/>
      <c r="CB29" s="24"/>
      <c r="CC29" s="23"/>
      <c r="CD29" s="24"/>
      <c r="CE29" s="23"/>
      <c r="CF29" s="24"/>
      <c r="CG29" s="23"/>
      <c r="CH29" s="24"/>
      <c r="CI29" s="23"/>
      <c r="CJ29" s="24"/>
      <c r="CK29" s="23"/>
      <c r="CL29" s="24"/>
      <c r="CM29" s="23"/>
      <c r="CN29" s="24"/>
      <c r="CO29" s="23"/>
      <c r="CP29" s="24"/>
      <c r="CQ29" s="23"/>
      <c r="CR29" s="24"/>
      <c r="CS29" s="23"/>
      <c r="CT29" s="24"/>
      <c r="CU29" s="23"/>
      <c r="CV29" s="24"/>
      <c r="CW29" s="23"/>
      <c r="CX29" s="24"/>
      <c r="CY29" s="23"/>
      <c r="CZ29" s="24"/>
      <c r="DA29" s="23"/>
      <c r="DB29" s="24"/>
      <c r="DC29" s="23"/>
      <c r="DD29" s="24"/>
      <c r="DE29" s="23"/>
      <c r="DF29" s="24"/>
      <c r="DG29" s="23"/>
      <c r="DH29" s="24"/>
      <c r="DI29" s="23"/>
      <c r="DJ29" s="24"/>
      <c r="DK29" s="23"/>
      <c r="DL29" s="24"/>
      <c r="DM29" s="23"/>
      <c r="DN29" s="24"/>
      <c r="DO29" s="23"/>
      <c r="DP29" s="24"/>
      <c r="DQ29" s="23"/>
      <c r="DR29" s="24"/>
      <c r="DS29" s="23"/>
      <c r="DT29" s="24"/>
      <c r="DU29" s="23"/>
      <c r="DV29" s="24"/>
      <c r="DW29" s="23"/>
      <c r="DX29" s="24"/>
      <c r="DY29" s="23"/>
      <c r="DZ29" s="24"/>
      <c r="EA29" s="23"/>
      <c r="EB29" s="24"/>
      <c r="EC29" s="23"/>
      <c r="ED29" s="24"/>
      <c r="EE29" s="23"/>
      <c r="EF29" s="24"/>
      <c r="EG29" s="23"/>
      <c r="EH29" s="24"/>
      <c r="EI29" s="23"/>
      <c r="EJ29" s="24"/>
      <c r="EK29" s="23"/>
      <c r="EL29" s="24"/>
      <c r="EM29" s="23"/>
      <c r="EN29" s="24"/>
      <c r="EO29" s="23"/>
      <c r="EP29" s="24"/>
      <c r="EQ29" s="23"/>
      <c r="ER29" s="24"/>
      <c r="ES29" s="23"/>
      <c r="ET29" s="24"/>
      <c r="EU29" s="23"/>
      <c r="EV29" s="24"/>
      <c r="EW29" s="23"/>
      <c r="EX29" s="24"/>
      <c r="EY29" s="23"/>
      <c r="EZ29" s="24"/>
      <c r="FA29" s="23"/>
      <c r="FB29" s="24"/>
      <c r="FC29" s="23"/>
      <c r="FD29" s="24"/>
      <c r="FE29" s="23"/>
      <c r="FF29" s="24"/>
      <c r="FG29" s="18"/>
    </row>
  </sheetData>
  <mergeCells count="24">
    <mergeCell ref="EZ4:FF4"/>
    <mergeCell ref="DQ4:DW4"/>
    <mergeCell ref="DX4:ED4"/>
    <mergeCell ref="EE4:EK4"/>
    <mergeCell ref="EL4:ER4"/>
    <mergeCell ref="ES4:EY4"/>
    <mergeCell ref="CH4:CN4"/>
    <mergeCell ref="CO4:CU4"/>
    <mergeCell ref="CV4:DB4"/>
    <mergeCell ref="DC4:DI4"/>
    <mergeCell ref="DJ4:DP4"/>
    <mergeCell ref="AD4:AJ4"/>
    <mergeCell ref="AK4:AQ4"/>
    <mergeCell ref="AR4:AX4"/>
    <mergeCell ref="B2:D2"/>
    <mergeCell ref="B4:H4"/>
    <mergeCell ref="I4:O4"/>
    <mergeCell ref="P4:V4"/>
    <mergeCell ref="W4:AC4"/>
    <mergeCell ref="BF4:BL4"/>
    <mergeCell ref="BM4:BS4"/>
    <mergeCell ref="BT4:BZ4"/>
    <mergeCell ref="CA4:CG4"/>
    <mergeCell ref="AY4:BE4"/>
  </mergeCells>
  <conditionalFormatting sqref="B6:FF7">
    <cfRule type="expression" dxfId="15" priority="1">
      <formula>B$7=TODAY()</formula>
    </cfRule>
  </conditionalFormatting>
  <printOptions horizontalCentered="1"/>
  <pageMargins left="0.25" right="0.25" top="0.75" bottom="0.75" header="0.3" footer="0.3"/>
  <pageSetup paperSize="9" fitToHeight="0" orientation="landscape" r:id="rId1"/>
  <headerFooter differentFirst="1">
    <oddFooter>Página &amp;P de &amp;N</oddFooter>
  </headerFooter>
  <ignoredErrors>
    <ignoredError sqref="I5 P5 W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2FE0-23A7-4CE4-BDB5-C0D03836BC55}">
  <sheetPr codeName="Folha2"/>
  <dimension ref="A1:N168"/>
  <sheetViews>
    <sheetView tabSelected="1" workbookViewId="0">
      <pane ySplit="1" topLeftCell="A354270" activePane="bottomLeft" state="frozen"/>
      <selection pane="bottomLeft" activeCell="A30" sqref="A30:I354307"/>
    </sheetView>
  </sheetViews>
  <sheetFormatPr defaultColWidth="32.25" defaultRowHeight="14.25"/>
  <cols>
    <col min="1" max="1" width="6.125" style="57" customWidth="1"/>
    <col min="2" max="2" width="40.625" style="51" customWidth="1"/>
    <col min="3" max="3" width="17.75" customWidth="1"/>
    <col min="4" max="4" width="13.5" style="57" customWidth="1"/>
    <col min="5" max="5" width="11.125" style="57" customWidth="1"/>
    <col min="6" max="6" width="12.375" style="57" customWidth="1"/>
    <col min="7" max="7" width="14.125" style="57" bestFit="1" customWidth="1"/>
    <col min="8" max="8" width="19" style="57" customWidth="1"/>
    <col min="9" max="9" width="22.25" style="57" customWidth="1"/>
  </cols>
  <sheetData>
    <row r="1" spans="1:14" s="57" customFormat="1" ht="15">
      <c r="A1" s="68" t="s">
        <v>47</v>
      </c>
      <c r="B1" s="68" t="s">
        <v>48</v>
      </c>
      <c r="C1" s="68" t="s">
        <v>49</v>
      </c>
      <c r="D1" s="68" t="s">
        <v>50</v>
      </c>
      <c r="E1" s="68" t="s">
        <v>51</v>
      </c>
      <c r="F1" s="68" t="s">
        <v>52</v>
      </c>
      <c r="G1" s="68" t="s">
        <v>53</v>
      </c>
      <c r="H1" s="68" t="s">
        <v>54</v>
      </c>
      <c r="I1" s="68" t="s">
        <v>55</v>
      </c>
      <c r="J1" s="69"/>
      <c r="K1" s="69"/>
      <c r="L1" s="69"/>
      <c r="M1" s="69"/>
      <c r="N1" s="69"/>
    </row>
    <row r="2" spans="1:14" ht="15">
      <c r="A2" s="69">
        <v>1</v>
      </c>
      <c r="B2" s="69" t="s">
        <v>56</v>
      </c>
      <c r="C2" s="69" t="s">
        <v>57</v>
      </c>
      <c r="D2" s="70">
        <v>46266</v>
      </c>
      <c r="E2" s="70">
        <v>46266</v>
      </c>
      <c r="F2" s="70">
        <v>46266</v>
      </c>
      <c r="G2" s="69">
        <v>6</v>
      </c>
      <c r="H2" s="69" t="s">
        <v>58</v>
      </c>
      <c r="I2" s="69" t="s">
        <v>59</v>
      </c>
      <c r="J2" s="69"/>
      <c r="K2" s="69"/>
      <c r="L2" s="69"/>
      <c r="M2" s="69"/>
      <c r="N2" s="69"/>
    </row>
    <row r="3" spans="1:14" ht="15">
      <c r="A3" s="69">
        <v>2</v>
      </c>
      <c r="B3" s="69" t="s">
        <v>60</v>
      </c>
      <c r="C3" s="69" t="s">
        <v>57</v>
      </c>
      <c r="D3" s="70">
        <v>46266</v>
      </c>
      <c r="E3" s="70">
        <v>46266</v>
      </c>
      <c r="F3" s="70">
        <v>46267</v>
      </c>
      <c r="G3" s="69">
        <v>6</v>
      </c>
      <c r="H3" s="69" t="s">
        <v>58</v>
      </c>
      <c r="I3" s="69" t="s">
        <v>59</v>
      </c>
      <c r="J3" s="69"/>
      <c r="K3" s="69"/>
      <c r="L3" s="69"/>
      <c r="M3" s="69"/>
      <c r="N3" s="69"/>
    </row>
    <row r="4" spans="1:14" ht="15">
      <c r="A4" s="69">
        <v>3</v>
      </c>
      <c r="B4" s="69" t="s">
        <v>61</v>
      </c>
      <c r="C4" s="69" t="s">
        <v>62</v>
      </c>
      <c r="D4" s="70">
        <v>46267</v>
      </c>
      <c r="E4" s="70">
        <v>46267</v>
      </c>
      <c r="F4" s="70">
        <v>46267</v>
      </c>
      <c r="G4" s="69">
        <v>6</v>
      </c>
      <c r="H4" s="69" t="s">
        <v>58</v>
      </c>
      <c r="I4" s="69" t="s">
        <v>59</v>
      </c>
      <c r="J4" s="69"/>
      <c r="K4" s="69"/>
      <c r="L4" s="69"/>
      <c r="M4" s="69"/>
      <c r="N4" s="69"/>
    </row>
    <row r="5" spans="1:14" ht="15">
      <c r="A5" s="69">
        <v>4</v>
      </c>
      <c r="B5" s="69" t="s">
        <v>63</v>
      </c>
      <c r="C5" s="69" t="s">
        <v>64</v>
      </c>
      <c r="D5" s="70">
        <v>46267</v>
      </c>
      <c r="E5" s="70">
        <v>46267</v>
      </c>
      <c r="F5" s="70">
        <v>46268</v>
      </c>
      <c r="G5" s="69">
        <v>6</v>
      </c>
      <c r="H5" s="69" t="s">
        <v>58</v>
      </c>
      <c r="I5" s="69" t="s">
        <v>59</v>
      </c>
      <c r="J5" s="69"/>
      <c r="K5" s="69"/>
      <c r="L5" s="69"/>
      <c r="M5" s="69"/>
      <c r="N5" s="69"/>
    </row>
    <row r="6" spans="1:14" ht="15">
      <c r="A6" s="69">
        <v>5</v>
      </c>
      <c r="B6" s="69" t="s">
        <v>65</v>
      </c>
      <c r="C6" s="69" t="s">
        <v>64</v>
      </c>
      <c r="D6" s="70">
        <v>46268</v>
      </c>
      <c r="E6" s="70">
        <v>46268</v>
      </c>
      <c r="F6" s="70">
        <v>46268</v>
      </c>
      <c r="G6" s="69">
        <v>6</v>
      </c>
      <c r="H6" s="69" t="s">
        <v>58</v>
      </c>
      <c r="I6" s="69" t="s">
        <v>59</v>
      </c>
      <c r="J6" s="69"/>
      <c r="K6" s="69"/>
      <c r="L6" s="69"/>
      <c r="M6" s="69"/>
      <c r="N6" s="69"/>
    </row>
    <row r="7" spans="1:14" ht="15">
      <c r="A7" s="69">
        <v>6</v>
      </c>
      <c r="B7" s="69" t="s">
        <v>66</v>
      </c>
      <c r="C7" s="69" t="s">
        <v>67</v>
      </c>
      <c r="D7" s="70">
        <v>46268</v>
      </c>
      <c r="E7" s="70">
        <v>46268</v>
      </c>
      <c r="F7" s="70">
        <v>46269</v>
      </c>
      <c r="G7" s="69">
        <v>5</v>
      </c>
      <c r="H7" s="69" t="s">
        <v>58</v>
      </c>
      <c r="I7" s="69" t="s">
        <v>59</v>
      </c>
      <c r="J7" s="69"/>
      <c r="K7" s="69"/>
      <c r="L7" s="69"/>
      <c r="M7" s="69"/>
      <c r="N7" s="69"/>
    </row>
    <row r="8" spans="1:14" ht="15">
      <c r="A8" s="69">
        <v>7</v>
      </c>
      <c r="B8" s="69" t="s">
        <v>68</v>
      </c>
      <c r="C8" s="69" t="s">
        <v>69</v>
      </c>
      <c r="D8" s="70">
        <v>46269</v>
      </c>
      <c r="E8" s="70">
        <v>46269</v>
      </c>
      <c r="F8" s="70">
        <v>46269</v>
      </c>
      <c r="G8" s="69">
        <v>5</v>
      </c>
      <c r="H8" s="69" t="s">
        <v>58</v>
      </c>
      <c r="I8" s="69" t="s">
        <v>59</v>
      </c>
      <c r="J8" s="69"/>
      <c r="K8" s="69"/>
      <c r="L8" s="69"/>
      <c r="M8" s="69"/>
      <c r="N8" s="69"/>
    </row>
    <row r="9" spans="1:14" ht="15">
      <c r="A9" s="69">
        <v>8</v>
      </c>
      <c r="B9" s="69" t="s">
        <v>70</v>
      </c>
      <c r="C9" s="69" t="s">
        <v>27</v>
      </c>
      <c r="D9" s="70">
        <v>46269</v>
      </c>
      <c r="E9" s="70">
        <v>46269</v>
      </c>
      <c r="F9" s="70">
        <v>46270</v>
      </c>
      <c r="G9" s="69">
        <v>6</v>
      </c>
      <c r="H9" s="69" t="s">
        <v>58</v>
      </c>
      <c r="I9" s="69" t="s">
        <v>71</v>
      </c>
      <c r="J9" s="69"/>
      <c r="K9" s="69"/>
      <c r="L9" s="69"/>
      <c r="M9" s="69"/>
      <c r="N9" s="69"/>
    </row>
    <row r="10" spans="1:14" ht="15">
      <c r="A10" s="69">
        <v>9</v>
      </c>
      <c r="B10" s="69" t="s">
        <v>72</v>
      </c>
      <c r="C10" s="69" t="s">
        <v>27</v>
      </c>
      <c r="D10" s="70">
        <v>46270</v>
      </c>
      <c r="E10" s="70">
        <v>46270</v>
      </c>
      <c r="F10" s="70">
        <v>46270</v>
      </c>
      <c r="G10" s="69">
        <v>6</v>
      </c>
      <c r="H10" s="69" t="s">
        <v>58</v>
      </c>
      <c r="I10" s="69" t="s">
        <v>71</v>
      </c>
      <c r="J10" s="69"/>
      <c r="K10" s="69"/>
      <c r="L10" s="69"/>
      <c r="M10" s="69"/>
      <c r="N10" s="69"/>
    </row>
    <row r="11" spans="1:14" ht="15">
      <c r="A11" s="69">
        <v>10</v>
      </c>
      <c r="B11" s="69" t="s">
        <v>73</v>
      </c>
      <c r="C11" s="69" t="s">
        <v>27</v>
      </c>
      <c r="D11" s="70">
        <v>46270</v>
      </c>
      <c r="E11" s="70">
        <v>46270</v>
      </c>
      <c r="F11" s="70">
        <v>46271</v>
      </c>
      <c r="G11" s="69">
        <v>5</v>
      </c>
      <c r="H11" s="69" t="s">
        <v>58</v>
      </c>
      <c r="I11" s="69" t="s">
        <v>71</v>
      </c>
      <c r="J11" s="69"/>
      <c r="K11" s="69"/>
      <c r="L11" s="69"/>
      <c r="M11" s="69"/>
      <c r="N11" s="69"/>
    </row>
    <row r="12" spans="1:14" ht="15">
      <c r="A12" s="69">
        <v>11</v>
      </c>
      <c r="B12" s="69" t="s">
        <v>74</v>
      </c>
      <c r="C12" s="69" t="s">
        <v>27</v>
      </c>
      <c r="D12" s="70">
        <v>46271</v>
      </c>
      <c r="E12" s="70">
        <v>46271</v>
      </c>
      <c r="F12" s="70">
        <v>46271</v>
      </c>
      <c r="G12" s="69">
        <v>5</v>
      </c>
      <c r="H12" s="69" t="s">
        <v>58</v>
      </c>
      <c r="I12" s="69" t="s">
        <v>71</v>
      </c>
      <c r="J12" s="69"/>
      <c r="K12" s="69"/>
      <c r="L12" s="69"/>
      <c r="M12" s="69"/>
      <c r="N12" s="69"/>
    </row>
    <row r="13" spans="1:14" ht="15">
      <c r="A13" s="69">
        <v>12</v>
      </c>
      <c r="B13" s="69" t="s">
        <v>75</v>
      </c>
      <c r="C13" s="69" t="s">
        <v>27</v>
      </c>
      <c r="D13" s="70">
        <v>46271</v>
      </c>
      <c r="E13" s="70">
        <v>46271</v>
      </c>
      <c r="F13" s="70">
        <v>46272</v>
      </c>
      <c r="G13" s="69">
        <v>6</v>
      </c>
      <c r="H13" s="69" t="s">
        <v>58</v>
      </c>
      <c r="I13" s="69" t="s">
        <v>71</v>
      </c>
      <c r="J13" s="69"/>
      <c r="K13" s="69"/>
      <c r="L13" s="69"/>
      <c r="M13" s="69"/>
      <c r="N13" s="69"/>
    </row>
    <row r="14" spans="1:14" ht="15">
      <c r="A14" s="69">
        <v>13</v>
      </c>
      <c r="B14" s="69" t="s">
        <v>76</v>
      </c>
      <c r="C14" s="69" t="s">
        <v>27</v>
      </c>
      <c r="D14" s="70">
        <v>46272</v>
      </c>
      <c r="E14" s="70">
        <v>46272</v>
      </c>
      <c r="F14" s="70">
        <v>46272</v>
      </c>
      <c r="G14" s="69">
        <v>5</v>
      </c>
      <c r="H14" s="69" t="s">
        <v>58</v>
      </c>
      <c r="I14" s="69" t="s">
        <v>71</v>
      </c>
      <c r="J14" s="69"/>
      <c r="K14" s="69"/>
      <c r="L14" s="69"/>
      <c r="M14" s="69"/>
      <c r="N14" s="69"/>
    </row>
    <row r="15" spans="1:14" ht="15">
      <c r="A15" s="69">
        <v>14</v>
      </c>
      <c r="B15" s="69" t="s">
        <v>77</v>
      </c>
      <c r="C15" s="69" t="s">
        <v>27</v>
      </c>
      <c r="D15" s="70">
        <v>46272</v>
      </c>
      <c r="E15" s="70">
        <v>46272</v>
      </c>
      <c r="F15" s="70">
        <v>46272</v>
      </c>
      <c r="G15" s="69">
        <v>6</v>
      </c>
      <c r="H15" s="69" t="s">
        <v>58</v>
      </c>
      <c r="I15" s="69" t="s">
        <v>71</v>
      </c>
      <c r="J15" s="69"/>
      <c r="K15" s="69"/>
      <c r="L15" s="69"/>
      <c r="M15" s="69"/>
      <c r="N15" s="69"/>
    </row>
    <row r="16" spans="1:14" ht="15">
      <c r="A16" s="69">
        <v>15</v>
      </c>
      <c r="B16" s="69" t="s">
        <v>78</v>
      </c>
      <c r="C16" s="69" t="s">
        <v>27</v>
      </c>
      <c r="D16" s="70">
        <v>46272</v>
      </c>
      <c r="E16" s="70">
        <v>46272</v>
      </c>
      <c r="F16" s="70">
        <v>46273</v>
      </c>
      <c r="G16" s="69">
        <v>6</v>
      </c>
      <c r="H16" s="69" t="s">
        <v>58</v>
      </c>
      <c r="I16" s="69" t="s">
        <v>71</v>
      </c>
      <c r="J16" s="69"/>
      <c r="K16" s="69"/>
      <c r="L16" s="69"/>
      <c r="M16" s="69"/>
      <c r="N16" s="69"/>
    </row>
    <row r="17" spans="1:14" ht="15">
      <c r="A17" s="69">
        <v>16</v>
      </c>
      <c r="B17" s="69" t="s">
        <v>79</v>
      </c>
      <c r="C17" s="69" t="s">
        <v>67</v>
      </c>
      <c r="D17" s="70">
        <v>46273</v>
      </c>
      <c r="E17" s="70">
        <v>46273</v>
      </c>
      <c r="F17" s="70">
        <v>46273</v>
      </c>
      <c r="G17" s="69">
        <v>6</v>
      </c>
      <c r="H17" s="69" t="s">
        <v>58</v>
      </c>
      <c r="I17" s="69" t="s">
        <v>59</v>
      </c>
      <c r="J17" s="69"/>
      <c r="K17" s="69"/>
      <c r="L17" s="69"/>
      <c r="M17" s="69"/>
      <c r="N17" s="69"/>
    </row>
    <row r="18" spans="1:14" ht="15">
      <c r="A18" s="69">
        <v>17</v>
      </c>
      <c r="B18" s="69" t="s">
        <v>80</v>
      </c>
      <c r="C18" s="69" t="s">
        <v>67</v>
      </c>
      <c r="D18" s="70">
        <v>46273</v>
      </c>
      <c r="E18" s="70">
        <v>46273</v>
      </c>
      <c r="F18" s="70">
        <v>46273</v>
      </c>
      <c r="G18" s="69">
        <v>6</v>
      </c>
      <c r="H18" s="69" t="s">
        <v>58</v>
      </c>
      <c r="I18" s="69" t="s">
        <v>59</v>
      </c>
      <c r="J18" s="69"/>
      <c r="K18" s="69"/>
      <c r="L18" s="69"/>
      <c r="M18" s="69"/>
      <c r="N18" s="69"/>
    </row>
    <row r="19" spans="1:14" ht="15">
      <c r="A19" s="69">
        <v>18</v>
      </c>
      <c r="B19" s="69" t="s">
        <v>81</v>
      </c>
      <c r="C19" s="69" t="s">
        <v>82</v>
      </c>
      <c r="D19" s="70">
        <v>46273</v>
      </c>
      <c r="E19" s="70">
        <v>46273</v>
      </c>
      <c r="F19" s="70">
        <v>46274</v>
      </c>
      <c r="G19" s="69">
        <v>5</v>
      </c>
      <c r="H19" s="69" t="s">
        <v>58</v>
      </c>
      <c r="I19" s="69" t="s">
        <v>71</v>
      </c>
      <c r="J19" s="69"/>
      <c r="K19" s="69"/>
      <c r="L19" s="69"/>
      <c r="M19" s="69"/>
      <c r="N19" s="69"/>
    </row>
    <row r="20" spans="1:14" ht="15">
      <c r="A20" s="69">
        <v>19</v>
      </c>
      <c r="B20" s="69" t="s">
        <v>83</v>
      </c>
      <c r="C20" s="69" t="s">
        <v>82</v>
      </c>
      <c r="D20" s="70">
        <v>46274</v>
      </c>
      <c r="E20" s="70">
        <v>46274</v>
      </c>
      <c r="F20" s="70">
        <v>46274</v>
      </c>
      <c r="G20" s="69">
        <v>5</v>
      </c>
      <c r="H20" s="69" t="s">
        <v>58</v>
      </c>
      <c r="I20" s="69" t="s">
        <v>71</v>
      </c>
      <c r="J20" s="69"/>
      <c r="K20" s="69"/>
      <c r="L20" s="69"/>
      <c r="M20" s="69"/>
      <c r="N20" s="69"/>
    </row>
    <row r="21" spans="1:14" ht="15">
      <c r="A21" s="69">
        <v>20</v>
      </c>
      <c r="B21" s="69" t="s">
        <v>84</v>
      </c>
      <c r="C21" s="69" t="s">
        <v>31</v>
      </c>
      <c r="D21" s="70">
        <v>46274</v>
      </c>
      <c r="E21" s="70">
        <v>46274</v>
      </c>
      <c r="F21" s="70">
        <v>46274</v>
      </c>
      <c r="G21" s="69">
        <v>6</v>
      </c>
      <c r="H21" s="69" t="s">
        <v>58</v>
      </c>
      <c r="I21" s="69" t="s">
        <v>59</v>
      </c>
      <c r="J21" s="69"/>
      <c r="K21" s="69"/>
      <c r="L21" s="69"/>
      <c r="M21" s="69"/>
      <c r="N21" s="69"/>
    </row>
    <row r="22" spans="1:14" ht="15">
      <c r="A22" s="69">
        <v>21</v>
      </c>
      <c r="B22" s="69" t="s">
        <v>85</v>
      </c>
      <c r="C22" s="69" t="s">
        <v>31</v>
      </c>
      <c r="D22" s="70">
        <v>46274</v>
      </c>
      <c r="E22" s="70">
        <v>46274</v>
      </c>
      <c r="F22" s="70">
        <v>46274</v>
      </c>
      <c r="G22" s="69">
        <v>6</v>
      </c>
      <c r="H22" s="69" t="s">
        <v>58</v>
      </c>
      <c r="I22" s="69" t="s">
        <v>59</v>
      </c>
      <c r="J22" s="69"/>
      <c r="K22" s="69"/>
      <c r="L22" s="69"/>
      <c r="M22" s="69"/>
      <c r="N22" s="69"/>
    </row>
    <row r="23" spans="1:14" ht="15">
      <c r="A23" s="69">
        <v>22</v>
      </c>
      <c r="B23" s="69" t="s">
        <v>86</v>
      </c>
      <c r="C23" s="69" t="s">
        <v>31</v>
      </c>
      <c r="D23" s="70">
        <v>46274</v>
      </c>
      <c r="E23" s="70">
        <v>46274</v>
      </c>
      <c r="F23" s="70">
        <v>46275</v>
      </c>
      <c r="G23" s="69">
        <v>6</v>
      </c>
      <c r="H23" s="69" t="s">
        <v>58</v>
      </c>
      <c r="I23" s="69" t="s">
        <v>59</v>
      </c>
      <c r="J23" s="69"/>
      <c r="K23" s="69"/>
      <c r="L23" s="69"/>
      <c r="M23" s="69"/>
      <c r="N23" s="69"/>
    </row>
    <row r="24" spans="1:14" ht="15">
      <c r="A24" s="69">
        <v>23</v>
      </c>
      <c r="B24" s="69" t="s">
        <v>87</v>
      </c>
      <c r="C24" s="69" t="s">
        <v>31</v>
      </c>
      <c r="D24" s="70">
        <v>46275</v>
      </c>
      <c r="E24" s="70">
        <v>46275</v>
      </c>
      <c r="F24" s="70">
        <v>46275</v>
      </c>
      <c r="G24" s="69">
        <v>6</v>
      </c>
      <c r="H24" s="69" t="s">
        <v>58</v>
      </c>
      <c r="I24" s="69" t="s">
        <v>71</v>
      </c>
      <c r="J24" s="69"/>
      <c r="K24" s="69"/>
      <c r="L24" s="69"/>
      <c r="M24" s="69"/>
      <c r="N24" s="69"/>
    </row>
    <row r="25" spans="1:14" ht="15">
      <c r="A25" s="69">
        <v>24</v>
      </c>
      <c r="B25" s="69" t="s">
        <v>88</v>
      </c>
      <c r="C25" s="69" t="s">
        <v>57</v>
      </c>
      <c r="D25" s="70">
        <v>46275</v>
      </c>
      <c r="E25" s="70">
        <v>46275</v>
      </c>
      <c r="F25" s="70">
        <v>46275</v>
      </c>
      <c r="G25" s="69">
        <v>5</v>
      </c>
      <c r="H25" s="69" t="s">
        <v>58</v>
      </c>
      <c r="I25" s="69" t="s">
        <v>59</v>
      </c>
      <c r="J25" s="69"/>
      <c r="K25" s="69"/>
      <c r="L25" s="69"/>
      <c r="M25" s="69"/>
      <c r="N25" s="69"/>
    </row>
    <row r="26" spans="1:14" ht="15">
      <c r="A26" s="69">
        <v>25</v>
      </c>
      <c r="B26" s="69" t="s">
        <v>89</v>
      </c>
      <c r="C26" s="69" t="s">
        <v>90</v>
      </c>
      <c r="D26" s="70">
        <v>46275</v>
      </c>
      <c r="E26" s="70">
        <v>46275</v>
      </c>
      <c r="F26" s="70">
        <v>46275</v>
      </c>
      <c r="G26" s="69">
        <v>4</v>
      </c>
      <c r="H26" s="69" t="s">
        <v>58</v>
      </c>
      <c r="I26" s="69" t="s">
        <v>59</v>
      </c>
      <c r="J26" s="69"/>
      <c r="K26" s="69"/>
      <c r="L26" s="69"/>
      <c r="M26" s="69"/>
      <c r="N26" s="69"/>
    </row>
    <row r="27" spans="1:14" ht="15">
      <c r="A27" s="69">
        <v>26</v>
      </c>
      <c r="B27" s="69" t="s">
        <v>91</v>
      </c>
      <c r="C27" s="69" t="s">
        <v>90</v>
      </c>
      <c r="D27" s="70">
        <v>46275</v>
      </c>
      <c r="E27" s="70">
        <v>46275</v>
      </c>
      <c r="F27" s="70">
        <v>46275</v>
      </c>
      <c r="G27" s="69">
        <v>4</v>
      </c>
      <c r="H27" s="69" t="s">
        <v>58</v>
      </c>
      <c r="I27" s="69" t="s">
        <v>71</v>
      </c>
      <c r="J27" s="69"/>
      <c r="K27" s="69"/>
      <c r="L27" s="69"/>
      <c r="M27" s="69"/>
      <c r="N27" s="69"/>
    </row>
    <row r="28" spans="1:14" ht="14.25" customHeight="1">
      <c r="A28" s="69">
        <v>27</v>
      </c>
      <c r="B28" s="69" t="s">
        <v>92</v>
      </c>
      <c r="C28" s="69" t="s">
        <v>93</v>
      </c>
      <c r="D28" s="70">
        <v>46275</v>
      </c>
      <c r="E28" s="70">
        <v>46275</v>
      </c>
      <c r="F28" s="70">
        <v>46275</v>
      </c>
      <c r="G28" s="69">
        <v>5</v>
      </c>
      <c r="H28" s="69" t="s">
        <v>58</v>
      </c>
      <c r="I28" s="69" t="s">
        <v>94</v>
      </c>
      <c r="J28" s="69"/>
      <c r="K28" s="69"/>
      <c r="L28" s="69"/>
      <c r="M28" s="69"/>
      <c r="N28" s="69"/>
    </row>
    <row r="29" spans="1:14" ht="29.25" customHeight="1">
      <c r="A29" s="69">
        <v>28</v>
      </c>
      <c r="B29" s="69" t="s">
        <v>95</v>
      </c>
      <c r="C29" s="69" t="s">
        <v>93</v>
      </c>
      <c r="D29" s="70">
        <v>46275</v>
      </c>
      <c r="E29" s="70">
        <v>46275</v>
      </c>
      <c r="F29" s="70">
        <v>46275</v>
      </c>
      <c r="G29" s="69">
        <v>6</v>
      </c>
      <c r="H29" s="69" t="s">
        <v>58</v>
      </c>
      <c r="I29" s="69" t="s">
        <v>59</v>
      </c>
      <c r="J29" s="69"/>
      <c r="K29" s="69"/>
      <c r="L29" s="69"/>
      <c r="M29" s="69"/>
      <c r="N29" s="69"/>
    </row>
    <row r="30" spans="1:14" ht="50.25" customHeight="1">
      <c r="J30" s="69"/>
      <c r="K30" s="69"/>
      <c r="L30" s="69"/>
      <c r="M30" s="69"/>
      <c r="N30" s="69"/>
    </row>
    <row r="31" spans="1:14" ht="45.75" customHeight="1">
      <c r="J31" s="69"/>
      <c r="K31" s="69"/>
      <c r="L31" s="69"/>
      <c r="M31" s="69"/>
      <c r="N31" s="69"/>
    </row>
    <row r="32" spans="1:14" ht="15">
      <c r="J32" s="69"/>
      <c r="K32" s="69"/>
      <c r="L32" s="69"/>
      <c r="M32" s="69"/>
      <c r="N32" s="69"/>
    </row>
    <row r="33" spans="10:14" ht="15">
      <c r="J33" s="69"/>
      <c r="K33" s="69"/>
      <c r="L33" s="69"/>
      <c r="M33" s="69"/>
      <c r="N33" s="69"/>
    </row>
    <row r="34" spans="10:14" ht="15">
      <c r="J34" s="69"/>
      <c r="K34" s="69"/>
      <c r="L34" s="69"/>
      <c r="M34" s="69"/>
      <c r="N34" s="69"/>
    </row>
    <row r="35" spans="10:14" ht="15">
      <c r="J35" s="69"/>
      <c r="K35" s="69"/>
      <c r="L35" s="69"/>
      <c r="M35" s="69"/>
      <c r="N35" s="69"/>
    </row>
    <row r="36" spans="10:14" ht="15">
      <c r="J36" s="69"/>
      <c r="K36" s="69"/>
      <c r="L36" s="69"/>
      <c r="M36" s="69"/>
      <c r="N36" s="69"/>
    </row>
    <row r="37" spans="10:14" ht="15">
      <c r="J37" s="69"/>
      <c r="K37" s="69"/>
      <c r="L37" s="69"/>
      <c r="M37" s="69"/>
      <c r="N37" s="69"/>
    </row>
    <row r="53" ht="82.5" customHeight="1"/>
    <row r="92" ht="61.5" customHeight="1"/>
    <row r="112" ht="45.75" customHeight="1"/>
    <row r="168" ht="95.25" customHeight="1"/>
  </sheetData>
  <conditionalFormatting sqref="G30:G1048576">
    <cfRule type="cellIs" dxfId="14" priority="2" operator="greaterThan">
      <formula>9</formula>
    </cfRule>
  </conditionalFormatting>
  <conditionalFormatting sqref="G30:G1048576">
    <cfRule type="cellIs" dxfId="13" priority="3" operator="between">
      <formula>8</formula>
      <formula>9</formula>
    </cfRule>
  </conditionalFormatting>
  <conditionalFormatting sqref="H30:H1048576">
    <cfRule type="containsText" dxfId="12" priority="5" operator="containsText" text="Cancelada">
      <formula>NOT(ISERROR(SEARCH("Cancelada",H30)))</formula>
    </cfRule>
  </conditionalFormatting>
  <conditionalFormatting sqref="H30:H1048576">
    <cfRule type="cellIs" dxfId="11" priority="8" operator="equal">
      <formula>"Em curso"</formula>
    </cfRule>
    <cfRule type="cellIs" dxfId="10" priority="9" operator="equal">
      <formula>"Feito"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FF324AB-2518-4EEE-8DFD-61869996D8A8}">
            <xm:f>NOT(ISERROR(SEARCH("Stand by",H30)))</xm:f>
            <xm:f>"Stand by"</xm:f>
            <x14:dxf>
              <font>
                <color theme="1"/>
              </font>
              <fill>
                <patternFill>
                  <bgColor rgb="FFFBF5CB"/>
                </patternFill>
              </fill>
            </x14:dxf>
          </x14:cfRule>
          <xm:sqref>H30:H1048576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5DB7F-5DD0-468F-BB0E-FD2701039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2013-03-27T17:47:00Z</dcterms:created>
  <dcterms:modified xsi:type="dcterms:W3CDTF">2026-07-30T12:12:46Z</dcterms:modified>
  <cp:category/>
  <cp:contentStatus/>
</cp:coreProperties>
</file>